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gs-products-template" sheetId="1" r:id="rId4"/>
  </sheets>
  <definedNames/>
  <calcPr/>
  <extLst>
    <ext uri="GoogleSheetsCustomDataVersion2">
      <go:sheetsCustomData xmlns:go="http://customooxmlschemas.google.com/" r:id="rId5" roundtripDataChecksum="oLDIR0Qnbujcjk7V8uVt4e3X+H4vuQ1VTKr7r8fSKPQ="/>
    </ext>
  </extLst>
</workbook>
</file>

<file path=xl/sharedStrings.xml><?xml version="1.0" encoding="utf-8"?>
<sst xmlns="http://schemas.openxmlformats.org/spreadsheetml/2006/main" count="3932" uniqueCount="1853">
  <si>
    <t>id</t>
  </si>
  <si>
    <t>sku</t>
  </si>
  <si>
    <t>name</t>
  </si>
  <si>
    <t>model</t>
  </si>
  <si>
    <t>brand</t>
  </si>
  <si>
    <t>brand_full</t>
  </si>
  <si>
    <t>category</t>
  </si>
  <si>
    <t>menu_group</t>
  </si>
  <si>
    <t>menu_category</t>
  </si>
  <si>
    <t>price</t>
  </si>
  <si>
    <t>image_1</t>
  </si>
  <si>
    <t>image_2</t>
  </si>
  <si>
    <t>image_3</t>
  </si>
  <si>
    <t>short</t>
  </si>
  <si>
    <t>details</t>
  </si>
  <si>
    <t>specs</t>
  </si>
  <si>
    <t>tags</t>
  </si>
  <si>
    <t>badge</t>
  </si>
  <si>
    <t>rating</t>
  </si>
  <si>
    <t>reviews</t>
  </si>
  <si>
    <t>pdf</t>
  </si>
  <si>
    <t>visible</t>
  </si>
  <si>
    <t>rg-ap840-l</t>
  </si>
  <si>
    <t>RG-AP840-L</t>
  </si>
  <si>
    <t>Ruijie RG-AP840-L Wi-Fi 6 Dual-Radio 4x4 MIMO 5.37Gbps</t>
  </si>
  <si>
    <t>Ruijie Network</t>
  </si>
  <si>
    <t>Ruijie Networks</t>
  </si>
  <si>
    <t>Access Point</t>
  </si>
  <si>
    <t>https://eo-sgp-cos.ruijie.com/background/other/2023-03-26/669bcfe4f5084ddda8b3cbdc7307a36e.png</t>
  </si>
  <si>
    <t>https://eo-sgp-cos.ruijie.com/background/other/2023-03-26/13aac2a47ef94d9d98b8dfaa90d59ba1.png</t>
  </si>
  <si>
    <t>https://eo-sgp-cos.ruijie.com/background/other/2023-03-26/daa05cd57d374ac5a09882658c573d88.png</t>
  </si>
  <si>
    <t>WiFi 6 Dual-Radio 4x4 MIMO 5.37Gbps + SFP 5Gbps</t>
  </si>
  <si>
    <t>• Wi-Fi 6 (802.11ax) Dual-Radio 4x4 MIMO ความเร็วสูงสุด 5.37Gbps
• พอร์ต LAN: 1/2.5/5Gbps + SFP 5Gbps
• รองรับ Standalone / Ruijie Cloud / Hardware Controller
• เหมาะสำหรับองค์กรขนาดใหญ่</t>
  </si>
  <si>
    <t>มาตรฐาน Wi-Fi: WiFi 6 (802.11ax)
ความเร็วสูงสุด: 5.37 Gbps
MIMO: 4x4 MU-MIMO
ย่านความถี่: Dual-Band 2.4/5GHz
พอร์ต LAN: 1x 1/2.5/5Gbps
พอร์ต SFP: 1x 5Gbps
Power: PoE 802.3at
จัดการ: Cloud / Controller / Standalone</t>
  </si>
  <si>
    <t>WiFi6,Enterprise,4x4MIMO,HighDensity,5Gbps</t>
  </si>
  <si>
    <t>New</t>
  </si>
  <si>
    <t>rg-ap880-l</t>
  </si>
  <si>
    <t>RG-AP880-L</t>
  </si>
  <si>
    <t>Ruijie RG-AP880-L Wi-Fi 6E Tri-Radio 4x4 MIMO 7.78Gbps</t>
  </si>
  <si>
    <t>https://eo-sgp-cos.ruijie.com/background/other/2023-08-22/0ac5da00d67b49babf13b5f83326bab7.webp</t>
  </si>
  <si>
    <t>https://eo-sgp-cos.ruijie.com/background/other/2023-08-22/b6eb8ed1e3b44ed391966468ab34f1a1.webp</t>
  </si>
  <si>
    <t>https://eo-sgp-cos.ruijie.com/background/other/2023-08-22/06e96e1d9f48461f859514441cd59970.webp</t>
  </si>
  <si>
    <t>WiFi 6E Tri-Radio 4x4 MIMO 7.78Gbps + SFP 5Gbps</t>
  </si>
  <si>
    <t>• Wi-Fi 6E Tri-Radio 4x4 MIMO ความเร็วสูงสุด 7.78Gbps
• รองรับ 2.4/5/6GHz (WiFi 6E)
• พอร์ต LAN: 1/2.5/5Gbps + SFP 5Gbps
• รองรับ Standalone / Ruijie Cloud / Hardware Controller</t>
  </si>
  <si>
    <t>มาตรฐาน Wi-Fi: WiFi 6E (802.11ax)
ความเร็วสูงสุด: 7.78 Gbps
MIMO: 4x4 MU-MIMO
ย่านความถี่: Tri-Band 2.4/5/6GHz
พอร์ต LAN: 1x 1/2.5/5Gbps
พอร์ต SFP: 1x 5Gbps
Power: PoE 802.3bt
จัดการ: Cloud / Controller / Standalone</t>
  </si>
  <si>
    <t>WiFi6E,TriBand,4x4MIMO,6GHz,Enterprise</t>
  </si>
  <si>
    <t>rg-ap820-arv3</t>
  </si>
  <si>
    <t>RG-AP820-AR(V3)</t>
  </si>
  <si>
    <t>Ruijie RG-AP820-AR(V3) Wi-Fi 6 Tri-Radio 3.84Gbps Indoor AP</t>
  </si>
  <si>
    <t>https://eo-sgp-cos.ruijie.com/background/other/2023-09-08/009be4fa9ea741ed91c175a15e578407.png</t>
  </si>
  <si>
    <t>https://eo-sgp-cos.ruijie.com/background/other/2024-01-25/8a1ef0db07b84e6ab1f97ebc72b062e1.webp</t>
  </si>
  <si>
    <t>https://eo-sgp-cos.ruijie.com/background/other/2024-01-25/771248dd51e343a1beb212125e98d89c.webp</t>
  </si>
  <si>
    <t>WiFi 6 Tri-Radio 3.84Gbps Indoor + 5Gbps Combo SFP</t>
  </si>
  <si>
    <t>• Wi-Fi 6 Tri-Radio ความเร็วสูงสุด 3.843Gbps
• ย่านความถี่ 2.4GHz + 5GHz + 5GHz
• พอร์ต 5Gbps Combo SFP
• รองรับ Cloud / Controller / Standalone</t>
  </si>
  <si>
    <t>มาตรฐาน Wi-Fi: WiFi 6 (802.11ax)
ความเร็วสูงสุด: 3.84 Gbps
ย่านความถี่: Tri-Radio 2.4/5/5GHz
พอร์ต: 5Gbps Combo SFP
Power: PoE 802.3bt
จัดการ: Cloud / Controller / Standalone</t>
  </si>
  <si>
    <t>WiFi6,TriRadio,Enterprise,Indoor</t>
  </si>
  <si>
    <t>rg-ap880-e</t>
  </si>
  <si>
    <t>RG-AP880-E</t>
  </si>
  <si>
    <t>Ruijie RG-AP880-E Wi-Fi 6E Tri-Radio 7.78Gbps Indoor AP</t>
  </si>
  <si>
    <t>https://eo-sgp-cos.ruijie.com/background/other/2023-07-02/3c4aed4fcd1845b69f17d1a9c7a76ec6.png</t>
  </si>
  <si>
    <t>https://eo-sgp-cos.ruijie.com/background/other/2023-07-02/609deaad1fba46e080aecbebb4ca115e.png</t>
  </si>
  <si>
    <t>WiFi 6E Tri-Radio 7.78Gbps + LAN 5Gbps + SFP 5Gbps</t>
  </si>
  <si>
    <t>• Wi-Fi 6E Tri-Radio ความเร็วสูงสุด 7.78Gbps
• รองรับ 2.4/5/6GHz
• พอร์ต LAN 5Gbps + SFP 5Gbps</t>
  </si>
  <si>
    <t>มาตรฐาน Wi-Fi: WiFi 6E (802.11ax)
ความเร็วสูงสุด: 7.78 Gbps
ย่านความถี่: Tri-Band 2.4/5/6GHz
พอร์ต LAN: 1x 5Gbps
พอร์ต SFP: 1x 5Gbps
Power: PoE 802.3bt
จัดการ: Cloud / Standalone</t>
  </si>
  <si>
    <t>WiFi6E,TriBand,6GHz,Indoor</t>
  </si>
  <si>
    <t>rg-ap680-ov3</t>
  </si>
  <si>
    <t>RG-AP680-O(V3)</t>
  </si>
  <si>
    <t>Ruijie RG-AP680-O(V3) Wi-Fi 6 Outdoor Dual-Radio 2.97Gbps</t>
  </si>
  <si>
    <t>https://eo-sgp-cos.ruijie.com/background/other/2023-05-15/e3e08199937f435eb6cf5d9ecc069270.png</t>
  </si>
  <si>
    <t>https://eo-sgp-cos.ruijie.com/background/other/2023-05-15/1027501ec3b4480db34ad29d62023607.png</t>
  </si>
  <si>
    <t>https://eo-sgp-cos.ruijie.com/background/other/2023-05-15/19d6b4eabeff4adca36f36b26fb0c33b.png</t>
  </si>
  <si>
    <t>WiFi 6 Outdoor IP67 Dual-Radio 2.97Gbps Omni-Antenna</t>
  </si>
  <si>
    <t>• Wi-Fi 6 Outdoor ระดับ Industrial Grade IP67
• Dual-Radio 2.4/5GHz ความเร็วสูงสุด 2.97Gbps
• เสา Omni-Directional built-in
• พอร์ต Gigabit + SFP 2.5Gbps</t>
  </si>
  <si>
    <t>มาตรฐาน Wi-Fi: WiFi 6 (802.11ax)
ความเร็วสูงสุด: 2.97 Gbps
ย่านความถี่: Dual-Band 2.4/5GHz
พอร์ต LAN: 1x Gigabit
พอร์ต SFP: 1x 2.5Gbps
กันน้ำ: IP67
Power: PoE 802.3at / DC
จัดการ: Cloud / Controller / Standalone</t>
  </si>
  <si>
    <t>WiFi6,Outdoor,IP67,Industrial,Omni</t>
  </si>
  <si>
    <t>rg-ap680-ar</t>
  </si>
  <si>
    <t>RG-AP680-AR</t>
  </si>
  <si>
    <t>Ruijie RG-AP680-AR Wi-Fi 6 Outdoor Quad-Radio 11.62Gbps</t>
  </si>
  <si>
    <t>https://eo-sgp-cos.ruijie.com/background/other/2023-03-26/7bcbc860346648a889990eec717f85ee.png</t>
  </si>
  <si>
    <t>https://eo-sgp-cos.ruijie.com/background/other/2023-03-26/00b4f51728e94ebcb9163c531e3c5a3b.png</t>
  </si>
  <si>
    <t>https://eo-sgp-cos.ruijie.com/background/other/2023-03-26/cd25355ce96540c0be36c6d6a4197ceb.png</t>
  </si>
  <si>
    <t>WiFi 6 Outdoor Quad-Radio 11.62Gbps + SFP+ 10Gbps IP67</t>
  </si>
  <si>
    <t>• Wi-Fi 6 Quad-Radio Outdoor High Density
• ความเร็วสูงสุด 11.622Gbps
• พอร์ต LAN 5Gbps + SFP+ 10Gbps
• Industrial Grade IP67</t>
  </si>
  <si>
    <t>มาตรฐาน Wi-Fi: WiFi 6 (802.11ax)
ความเร็วสูงสุด: 11.622 Gbps
ย่านความถี่: Quad-Radio
พอร์ต LAN: 1x 5Gbps
พอร์ต SFP+: 1x 10Gbps
กันน้ำ: IP67
Power: PoE 802.3bt / DC</t>
  </si>
  <si>
    <t>WiFi6,Outdoor,QuadRadio,IP67,10Gbps</t>
  </si>
  <si>
    <t>rg-ap180p-l</t>
  </si>
  <si>
    <t>RG-AP180P-L</t>
  </si>
  <si>
    <t>Ruijie RG-AP180P-L Wall Plate AP Wi-Fi 6 Dual-Radio 2.97Gbps</t>
  </si>
  <si>
    <t>https://eo-sgp-cos.ruijie.com/background/other/2023-04-01/6d6af212ac6a49af8311ac256197fd7a.png</t>
  </si>
  <si>
    <t>https://eo-sgp-cos.ruijie.com/background/other/2023-04-01/b23d5fae4a38420ca2d167899dbdabc1.png</t>
  </si>
  <si>
    <t>https://eo-sgp-cos.ruijie.com/background/other/2023-04-01/b956cfc5c4894fb6b44edccc0f5e34f9.png</t>
  </si>
  <si>
    <t>Wall Plate AP WiFi 6 2.97Gbps + 5 Gigabit Port + PoE Passthrough</t>
  </si>
  <si>
    <t>• Wall Plate AP Wi-Fi 6 ติดในกล่อง Switch มาตรฐาน
• Dual-Radio 2.97Gbps + 5 Gigabit Port
• รองรับ PoE Passthrough
• เหมาะกับโรงแรม / ห้องประชุม</t>
  </si>
  <si>
    <t>มาตรฐาน Wi-Fi: WiFi 6 (802.11ax)
ความเร็วสูงสุด: 2.97 Gbps
ย่านความถี่: Dual-Band 2.4/5GHz
พอร์ต: 5x Gigabit (1 Uplink + 4 Downlink)
PoE Passthrough: รองรับ
Power: PoE 802.3at
ติดตั้ง: Wall Plate</t>
  </si>
  <si>
    <t>WiFi6,WallPlate,Hotel,PoEPassthrough,5Port</t>
  </si>
  <si>
    <t>rg-ap880-ar</t>
  </si>
  <si>
    <t>RG-AP880-AR</t>
  </si>
  <si>
    <t>Ruijie RG-AP880-AR Wi-Fi 6 4-Radio Indoor AP 8.6Gbps</t>
  </si>
  <si>
    <t>https://eo-sgp-cos.ruijie.com/background/other/2023-07-02/034a44da41e746f5b59bd15f10b0efb1.png</t>
  </si>
  <si>
    <t>WiFi 6 4-Radio 8.6Gbps High-Density + LAN 5Gbps + SFP</t>
  </si>
  <si>
    <t>• Wi-Fi 6 4-Radio สำหรับ High Density
• ความเร็วสูงสุด 8.6Gbps
• พอร์ต LAN 5Gbps + SFP</t>
  </si>
  <si>
    <t>มาตรฐาน Wi-Fi: WiFi 6 (802.11ax)
ความเร็วสูงสุด: 8.6 Gbps
ย่านความถี่: 4-Radio
พอร์ต LAN: 1x 5Gbps
พอร์ต SFP: รองรับ
Power: PoE 802.3bt
จัดการ: Cloud / Controller</t>
  </si>
  <si>
    <t>WiFi6,4Radio,HighDensity,Enterprise</t>
  </si>
  <si>
    <t>rg-ap720-l</t>
  </si>
  <si>
    <t>RG-AP720-L</t>
  </si>
  <si>
    <t>Ruijie RG-AP720-L Wireless AP WiFi 5 AC Wave 2 1.17Gbps</t>
  </si>
  <si>
    <t>https://eo-sgp-cos.ruijie.com/background/other/2023-04-27/c67b28a6990e4e9392290e48ec3a2568.png</t>
  </si>
  <si>
    <t>https://eo-sgp-cos.ruijie.com/background/other/2023-04-27/ecab628ba168499685d0dbd615320f63.png</t>
  </si>
  <si>
    <t>https://eo-sgp-cos.ruijie.com/background/other/2023-04-27/5e2ec0931ae34a768eafb439c6894426.png</t>
  </si>
  <si>
    <t>WiFi 5 AC Wave 2 2x2 MIMO 1.17Gbps Gigabit Cloud Managed</t>
  </si>
  <si>
    <t>• WiFi 5 (802.11ac) Wave 2 Dual-Band
• ความเร็วสูงสุด 1.167Gbps 2x2 MIMO
• Gigabit LAN Port
• Cloud / Controller / Standalone</t>
  </si>
  <si>
    <t>มาตรฐาน Wi-Fi: WiFi 5 (802.11ac) Wave 2
ความเร็วสูงสุด: 1.167 Gbps
MIMO: 2x2 MU-MIMO
ย่านความถี่: Dual-Band 2.4/5GHz
พอร์ต LAN: 1x Gigabit
Power: PoE 802.3af
จัดการ: Cloud / Controller / Standalone</t>
  </si>
  <si>
    <t>WiFi5,ACWave2,2x2MIMO,Gigabit</t>
  </si>
  <si>
    <t>rg-ap810-l</t>
  </si>
  <si>
    <t>RG-AP810-L</t>
  </si>
  <si>
    <t>Ruijie RG-AP810-L Wi-Fi 6 AX1800 2x2 MIMO 1.77Gbps</t>
  </si>
  <si>
    <t>https://eo-sgp-cos.ruijie.com/background/other/2023-04-28/4ee24b6707b04e40b298d4d085441bfb.png</t>
  </si>
  <si>
    <t>https://eo-sgp-cos.ruijie.com/background/other/2023-04-28/d790b7ebb32a40a781fb0aaa04c5460e.png</t>
  </si>
  <si>
    <t>https://eo-sgp-cos.ruijie.com/background/other/2024-01-24/3881a31c3e4941638e2d70351cc320b4.webp</t>
  </si>
  <si>
    <t>WiFi 6 AX1800 2x2 MIMO 1.77Gbps Gigabit Cloud Managed</t>
  </si>
  <si>
    <t>• Wi-Fi 6 (802.11ax) AX1800 Dual-Band
• ความเร็วสูงสุด 1.775Gbps 2x2 MIMO
• Gigabit LAN Port
• Cloud / Controller / Standalone</t>
  </si>
  <si>
    <t>มาตรฐาน Wi-Fi: WiFi 6 (802.11ax)
ความเร็วสูงสุด: 1.775 Gbps (AX1800)
MIMO: 2x2 MU-MIMO
ย่านความถี่: Dual-Band 2.4/5GHz
พอร์ต LAN: 1x Gigabit
Power: PoE 802.3af
จัดการ: Cloud / Controller / Standalone</t>
  </si>
  <si>
    <t>WiFi6,AX1800,2x2MIMO,SMB</t>
  </si>
  <si>
    <t>rg-ap820-lv3</t>
  </si>
  <si>
    <t>RG-AP820-L(V3)</t>
  </si>
  <si>
    <t>Ruijie RG-AP820-L(V3) Wi-Fi 6 AX3000 2x2 MIMO 2.97Gbps</t>
  </si>
  <si>
    <t>https://eo-sgp-cos.ruijie.com/background/other/2023-04-27/3979206f20f24ab9b540974cf7212070.png</t>
  </si>
  <si>
    <t>https://eo-sgp-cos.ruijie.com/background/other/2023-04-27/de31e48733e44687b34333e5332c1b33.png</t>
  </si>
  <si>
    <t>https://eo-sgp-cos.ruijie.com/background/other/2023-04-27/5b8b79f678e64c728901698884645146.png</t>
  </si>
  <si>
    <t>WiFi 6 AX3000 2x2 MIMO 2.97Gbps + SFP 2.5Gbps 160MHz</t>
  </si>
  <si>
    <t>• Wi-Fi 6 AX3000 รองรับ 160MHz Channel Width
• ความเร็วสูงสุด 2.97Gbps 2x2 MIMO
• Gigabit LAN + SFP 2.5Gbps</t>
  </si>
  <si>
    <t>มาตรฐาน Wi-Fi: WiFi 6 (802.11ax)
ความเร็วสูงสุด: 2.97 Gbps (AX3000)
Channel Width: 160MHz
MIMO: 2x2 MU-MIMO
ย่านความถี่: Dual-Band 2.4/5GHz
พอร์ต LAN: 1x Gigabit
พอร์ต SFP: 1x 2.5Gbps
Power: PoE 802.3at
จัดการ: Cloud / Controller / Standalone</t>
  </si>
  <si>
    <t>WiFi6,AX3000,160MHz,2x2MIMO</t>
  </si>
  <si>
    <t>rg-ap110-l</t>
  </si>
  <si>
    <t>RG-AP110-L</t>
  </si>
  <si>
    <t>Ruijie RG-AP110-L Wall-Mount AP N300 2.4GHz 300Mbps</t>
  </si>
  <si>
    <t>https://eo-sgp-cos.ruijie.com/FU/Upload/Product/2020/2-17/202021753811666.jpg</t>
  </si>
  <si>
    <t>Wall-Mount AP 2.4GHz N300 2 LAN Port Cloud Managed</t>
  </si>
  <si>
    <t>• Wall-Mountable 2.4GHz 802.11n 300Mbps
• 2 LAN Port
• Cloud / Standalone / Hardware Control</t>
  </si>
  <si>
    <t>มาตรฐาน Wi-Fi: 802.11n (2.4GHz)
ความเร็วสูงสุด: 300 Mbps
พอร์ต LAN: 2x 100Mbps
Power: PoE 802.3af
ติดตั้ง: Wall Mount
จัดการ: Cloud / Standalone</t>
  </si>
  <si>
    <t>N300,WallMount,Indoor,Budget</t>
  </si>
  <si>
    <t>rg-ap130w2-v2</t>
  </si>
  <si>
    <t>RG-AP130(W2) V2</t>
  </si>
  <si>
    <t>Ruijie RG-AP130(W2) V2 Wall AP WiFi 5 AC Wave 2 1.17Gbps 4 Port</t>
  </si>
  <si>
    <t>https://www.sysinfo.co.th/media/catalog/product/cache/1/image/9df78eab33525d08d6e5fb8d27136e95/r/g/rg-ap130_w2_-v2-top2.jpg</t>
  </si>
  <si>
    <t>https://www.sysinfo.co.th/media/catalog/product/cache/1/image/9df78eab33525d08d6e5fb8d27136e95/r/g/rg-ap130_w2_-v2-top4.jpg</t>
  </si>
  <si>
    <t>https://www.sysinfo.co.th/media/catalog/product/cache/1/image/9df78eab33525d08d6e5fb8d27136e95/r/g/rg-ap130_w2_-v2-top3.jpg</t>
  </si>
  <si>
    <t>Wall AP WiFi 5 AC Wave 2 1.17Gbps 4 Gigabit Port Cloud Managed</t>
  </si>
  <si>
    <t>• Wall Access Point WiFi 5 AC Wave 2
• ความเร็วสูงสุด 1.167Gbps 2x2 MU-MIMO
• 4 Gigabit LAN Port</t>
  </si>
  <si>
    <t>มาตรฐาน Wi-Fi: WiFi 5 (802.11ac) Wave 2
ความเร็วสูงสุด: 1.167 Gbps
MIMO: 2x2 MU-MIMO
พอร์ต LAN: 4x Gigabit
Power: PoE 802.3at
ติดตั้ง: Wall Mount</t>
  </si>
  <si>
    <t>WiFi5,WallMount,4Port,Hotel</t>
  </si>
  <si>
    <t>rg-ap180</t>
  </si>
  <si>
    <t>RG-AP180</t>
  </si>
  <si>
    <t>Ruijie RG-AP180 Wall AP Wi-Fi 6 AX1800 5 Port Gigabit</t>
  </si>
  <si>
    <t>https://eo-sgp-cos.ruijie.com/background/other/2023-04-28/eb784609bb6d497b978fbfae4d9ded9c.png</t>
  </si>
  <si>
    <t>https://eo-sgp-cos.ruijie.com/background/other/2023-04-28/f054fca07d054327a58639ab39210f3c.png</t>
  </si>
  <si>
    <t>https://eo-sgp-cos.ruijie.com/background/other/2023-04-28/bee321de4825439fb215b091cef5c4aa.png</t>
  </si>
  <si>
    <t>Wall AP WiFi 6 AX1800 1.77Gbps 5 Gigabit Port Cloud Managed</t>
  </si>
  <si>
    <t>• Wall Access Point Wi-Fi 6 (802.11ax)
• ความเร็วสูงสุด 1.774Gbps
• 5 Gigabit Port (1 Uplink + 4 Downlink)</t>
  </si>
  <si>
    <t>มาตรฐาน Wi-Fi: WiFi 6 (802.11ax)
ความเร็วสูงสุด: 1.774 Gbps
พอร์ต LAN: 5x Gigabit
Power: PoE 802.3at
ติดตั้ง: Wall Mount
จัดการ: Cloud / Controller</t>
  </si>
  <si>
    <t>WiFi6,WallMount,5Port,Hotel,AX1800</t>
  </si>
  <si>
    <t>rg-ap210-l</t>
  </si>
  <si>
    <t>RG-AP210-L</t>
  </si>
  <si>
    <t>Ruijie RG-AP210-L Wireless AP N300 2x2 300Mbps Ceiling</t>
  </si>
  <si>
    <t>https://image.makewebcdn.com/makeweb/m_1920x0/jxlPpOYv8/4Products/RG_AP210_L.jpg?v=202405291424</t>
  </si>
  <si>
    <t>https://high-wireless.com/wp-content/uploads/2022/04/rg-ap210-l-side.jpg</t>
  </si>
  <si>
    <t>Wireless AP N300 2x2 300Mbps Ceiling Cloud Managed</t>
  </si>
  <si>
    <t>• 802.11n 300Mbps 2x2 Ceiling Mount
• Cloud / Standalone / Hardware Control</t>
  </si>
  <si>
    <t>มาตรฐาน Wi-Fi: 802.11n
ความเร็วสูงสุด: 300 Mbps
MIMO: 2x2
พอร์ต LAN: 1x 100Mbps
Power: PoE 802.3af
ติดตั้ง: Ceiling Mount</t>
  </si>
  <si>
    <t>N300,Ceiling,Budget,Indoor</t>
  </si>
  <si>
    <t/>
  </si>
  <si>
    <t>rg-eg2100-p-v2</t>
  </si>
  <si>
    <t>RG-EG2100-P v2</t>
  </si>
  <si>
    <t>Ruijie RG-EG2100-P v2 Smart Access Gateway</t>
  </si>
  <si>
    <t>Gateway</t>
  </si>
  <si>
    <t>https://sysnetcenter.com/7358-home_default/ruijie-rg-eg2100-p-v2-smart-access-gateway-vpn-firewall-l7-dpi.webp</t>
  </si>
  <si>
    <t>Smart Gateway 2 WAN / 8 LAN Gigabit + PoE 135W VPN Firewall L7 DPI 300 Users</t>
  </si>
  <si>
    <t>• 2 WAN + 8 LAN Gigabit พร้อม PoE Switch 135W built-in
• VPN 16 Tunnels, Firewall, Layer 7 DPI
• รองรับ 300 Users / 100,000 Sessions
• บริหารจัดการผ่าน Ruijie Cloud</t>
  </si>
  <si>
    <t>WAN Port: 2x Gigabit
LAN Port: 8x Gigabit (PoE 135W)
VPN: 16 Tunnels IPSec
Firewall: รองรับ
L7 DPI: รองรับ
Max Users: 300
Max Sessions: 100,000
จัดการ: Cloud / Web GUI</t>
  </si>
  <si>
    <t>Gateway,VPN,Firewall,L7DPI,PoE,SMB</t>
  </si>
  <si>
    <t>rg-eg3250</t>
  </si>
  <si>
    <t>RG-EG3250</t>
  </si>
  <si>
    <t>Ruijie RG-EG3250 Unified Security Gateway</t>
  </si>
  <si>
    <t>https://sysnetcenter.com/7645-home_default/ruijie-rg-eg3250-unified-security-gateway-vpn-firewall-l7-cloud.webp</t>
  </si>
  <si>
    <t>Unified Security Gateway 6 WAN Gigabit + SFP+ VPN Firewall L7 DPI 1TB Log</t>
  </si>
  <si>
    <t>• 6 WAN Gigabit + 1 SFP+ Port
• IPSec VPN, Firewall, L7 DPI (Free Signature Update)
• HDD 1TB สำหรับเก็บ Log
• รองรับ 2,000 Users</t>
  </si>
  <si>
    <t>WAN Port: 6x Gigabit
SFP+: 1x Port
VPN: IPSec
Firewall: รองรับ
L7 DPI: รองรับ (Free Update)
Log Storage: 1TB HDD
Max Users: 2,000
จัดการ: Cloud</t>
  </si>
  <si>
    <t>Gateway,VPN,Firewall,L7DPI,Log,Enterprise</t>
  </si>
  <si>
    <t>rg-eg3000xe</t>
  </si>
  <si>
    <t>RG-EG3000XE</t>
  </si>
  <si>
    <t>Ruijie RG-EG3000XE Next-Generation Integrated Gateway 60Gbps</t>
  </si>
  <si>
    <t>https://sysnetcenter.com/7828-home_default/ruijie-rg-eg3000xe-next-generation-integrated-gateway.webp</t>
  </si>
  <si>
    <t>Next-Gen Gateway 60Gbps Throughput 8 GE + 8 SFP+ 10G + 2 QSFP+ 40G L7 DPI</t>
  </si>
  <si>
    <t>• Throughput 60Gbps
• 8 Port Gigabit + 8 Port SFP+ 10Gbps + 2 QSFP+ 40Gbps
• L7 DPI, Flow Control, VPN, Audit Log
• รองรับ 20,000 Users / 16,000,000 Sessions</t>
  </si>
  <si>
    <t>Throughput: 60 Gbps
GE Port: 8x Gigabit
SFP+ Port: 8x 10Gbps
QSFP+ Port: 2x 40Gbps
L7 DPI: รองรับ
VPN: รองรับ
Max Users: 20,000
Max Sessions: 16,000,000</t>
  </si>
  <si>
    <t>Gateway,HighPerformance,60Gbps,L7DPI,VPN,DataCenter</t>
  </si>
  <si>
    <t>rg-eg3230</t>
  </si>
  <si>
    <t>RG-EG3230</t>
  </si>
  <si>
    <t>Ruijie RG-EG3230 Unified Security Gateway 6 WAN</t>
  </si>
  <si>
    <t>https://sysnetcenter.com/8386-home_default/ruijie-rg-eg3230-unified-security-gateway-6-wan-firewall.webp</t>
  </si>
  <si>
    <t>Unified Security Gateway 6 WAN Gigabit + SFP+ Firewall L7 DPI 1TB Log 1000 Users</t>
  </si>
  <si>
    <t>• 6 WAN Gigabit + SFP+ Port
• IPSec VPN, Firewall, L7 DPI
• HDD 1TB สำหรับเก็บ Log
• รองรับ 1,000 Users</t>
  </si>
  <si>
    <t>WAN Port: 6x Gigabit
SFP+: 1x Port
VPN: IPSec
Firewall: รองรับ
L7 DPI: รองรับ
Log Storage: 1TB HDD
Max Users: 1,000</t>
  </si>
  <si>
    <t>Gateway,VPN,Firewall,L7DPI,Log</t>
  </si>
  <si>
    <t>rg-pa1000i-p-f</t>
  </si>
  <si>
    <t>RG-PA1000i-P-F</t>
  </si>
  <si>
    <t>Ruijie RG-PA1000i-P-F AC Power Module 740W PoE</t>
  </si>
  <si>
    <t>Switch</t>
  </si>
  <si>
    <t>https://sysnetcenter.com/8950-home_default/rg-pa1000i-p-f-ruijie-ac-power-module-740w-poe.webp</t>
  </si>
  <si>
    <t>AC Power Module 740W สำหรับ PoE Switch รองรับ 48 PoE / 24 PoE+</t>
  </si>
  <si>
    <t>• Power Module 740W สำหรับ PoE Switch
• รองรับ 48 พอร์ต PoE หรือ 24 พอร์ต PoE+</t>
  </si>
  <si>
    <t>กำลังไฟ: 740W
รองรับ PoE: 48 Port (802.3af) / 24 Port (802.3at)
Type: AC Power Module</t>
  </si>
  <si>
    <t>PowerModule,PoE,Accessory</t>
  </si>
  <si>
    <t>rg-pa600i-p-f</t>
  </si>
  <si>
    <t>RG-PA600i-P-F</t>
  </si>
  <si>
    <t>Ruijie RG-PA600i-P-F AC Power Module 370W PoE</t>
  </si>
  <si>
    <t>https://sysnetcenter.com/8947-home_default/rg-pa600i-p-f-ruijie-ac-power-module-370w-poe.webp</t>
  </si>
  <si>
    <t>AC Power Module 370W สำหรับ PoE Switch รองรับ 24 PoE / 12 PoE+</t>
  </si>
  <si>
    <t>• Power Module 370W สำหรับ PoE Switch
• รองรับ 24 พอร์ต PoE หรือ 12 พอร์ต PoE+</t>
  </si>
  <si>
    <t>กำลังไฟ: 370W
รองรับ PoE: 24 Port (802.3af) / 12 Port (802.3at)
Type: AC Power Module</t>
  </si>
  <si>
    <t>rg-sf2920-16gt2sfp-p</t>
  </si>
  <si>
    <t>RG-SF2920-16GT2SFP-P</t>
  </si>
  <si>
    <t>Ruijie RG-SF2920-16GT2SFP-P Gigabit PoE Switch 16 Port + 2 SFP 125W</t>
  </si>
  <si>
    <t>https://sysnetcenter.com/10470-home_default/rg-sf2920-16gt2sfp-p-ruijie-gigabit-poe-switch-16-port-125w.webp</t>
  </si>
  <si>
    <t>Gigabit PoE Switch 16 Port + 2 SFP Uplink 125W 8kV Surge</t>
  </si>
  <si>
    <t>• 16 Port Gigabit PoE + 2 SFP Uplink
• PoE Budget 125W (802.3af/at)
• กันฟ้าผ่า 8kV Surge Protection</t>
  </si>
  <si>
    <t>พอร์ต LAN: 16x Gigabit PoE
พอร์ต Uplink: 2x SFP
PoE Budget: 125W
Surge Protection: 8kV
VLAN: รองรับ</t>
  </si>
  <si>
    <t>Switch,PoE,16Port,SFP,Surge</t>
  </si>
  <si>
    <t>rg-sf2920-16gt2sfp</t>
  </si>
  <si>
    <t>RG-SF2920-16GT2SFP</t>
  </si>
  <si>
    <t>Ruijie RG-SF2920-16GT2SFP Gigabit Switch 16 Port + 2 SFP 8kV</t>
  </si>
  <si>
    <t>https://sysnetcenter.com/10466-home_default/rg-sf2920-16gt2sfp-ruijie-gigabit-switch-16-port-2-sfp.webp</t>
  </si>
  <si>
    <t>Gigabit Unmanaged Switch 16 Port + 2 SFP Uplink 8kV Surge VLAN</t>
  </si>
  <si>
    <t>• 16 Port Gigabit + 2 SFP Uplink
• กันฟ้าผ่า 8kV Surge Protection
• รองรับ VLAN</t>
  </si>
  <si>
    <t>พอร์ต LAN: 16x Gigabit
พอร์ต Uplink: 2x SFP
Surge Protection: 8kV
VLAN: รองรับ</t>
  </si>
  <si>
    <t>Switch,Unmanaged,16Port,SFP,Surge</t>
  </si>
  <si>
    <t>rg-sf2920-16gt2mg2xs-p</t>
  </si>
  <si>
    <t>RG-SF2920-16GT2MG2XS-P</t>
  </si>
  <si>
    <t>Ruijie RG-SF2920-16GT2MG2XS-P Multi-GE PoE Switch 16 Port + 10G SFP+</t>
  </si>
  <si>
    <t>https://sysnetcenter.com/10457-home_default/rg-sf2920-16gt2mg2xs-p-ruijie-multi-ge-poe-switch-16-port.webp</t>
  </si>
  <si>
    <t>Multi-GE PoE Switch 16 GE + 2x 5G + 2x 10G SFP+ 125W</t>
  </si>
  <si>
    <t>• 16 Port Gigabit PoE + 2x 5G + 2x 10G SFP+
• PoE Budget 125W
• กันฟ้าผ่า Surge Protection</t>
  </si>
  <si>
    <t>พอร์ต LAN: 16x Gigabit PoE
พอร์ต 5G: 2x
พอร์ต SFP+: 2x 10G
PoE Budget: 125W</t>
  </si>
  <si>
    <t>Switch,MultiGE,PoE,10G,SFP+</t>
  </si>
  <si>
    <t>xs-s1930j-24gt4sfp-2gt-p</t>
  </si>
  <si>
    <t>XS-S1930J-24GT4SFP/2GT-P</t>
  </si>
  <si>
    <t>Ruijie XS-S1930J-24GT4SFP/2GT-P L2 Managed PoE Switch 24 Port 370W</t>
  </si>
  <si>
    <t>https://sysnetcenter.com/9059-home_default/ruijie-xs-s1930j-24gt4sfp2gt-p-l2-managed-poe-switch-24-port.webp</t>
  </si>
  <si>
    <t>L2 Managed PoE Switch 24 GE + 2x 2.5G + 4 SFP 370W Cloud Managed</t>
  </si>
  <si>
    <t>• L2 Managed 24 Port Gigabit PoE + 2x 2.5G LAN + 4 SFP
• PoE Budget 370W Cloud Managed
• รองรับ VLAN, LACP, IGMP</t>
  </si>
  <si>
    <t>พอร์ต LAN: 24x Gigabit PoE + 2x 2.5G
พอร์ต SFP: 4x
PoE Budget: 370W
จัดการ: L2 Managed / Cloud
VLAN/LACP/IGMP: รองรับ</t>
  </si>
  <si>
    <t>Switch,L2Managed,PoE,24Port,Cloud,SFP</t>
  </si>
  <si>
    <t>rg-sf2920-16gt2mg2xs</t>
  </si>
  <si>
    <t>RG-SF2920-16GT2MG2XS</t>
  </si>
  <si>
    <t>Ruijie RG-SF2920-16GT2MG2XS Multi-GE Switch 16 Port + 10G SFP+</t>
  </si>
  <si>
    <t>https://sysnetcenter.com/10456-home_default/rg-sf2920-16gt2mg2xs-ruijie-multi-ge-switch-16-port.webp</t>
  </si>
  <si>
    <t>Multi-GE Unmanaged Switch 16 GE + 2x 2.5G + 2x 10G SFP+</t>
  </si>
  <si>
    <t>• 16 Port Gigabit + 2x 2.5G + 2x 10G SFP+
• Unmanaged กันฟ้าผ่า</t>
  </si>
  <si>
    <t>พอร์ต LAN: 16x Gigabit
พอร์ต 2.5G: 2x
พอร์ต SFP+: 2x 10G
Surge Protection: 8kV</t>
  </si>
  <si>
    <t>Switch,MultiGE,Unmanaged,10G</t>
  </si>
  <si>
    <t>xs-s1930j-18gt2sfp-p</t>
  </si>
  <si>
    <t>XS-S1930J-18GT2SFP-P</t>
  </si>
  <si>
    <t>Ruijie XS-S1930J-18GT2SFP-P L2 Managed PoE Switch 18 Port 200W</t>
  </si>
  <si>
    <t>https://sysnetcenter.com/9054-home_default/ruijie-xs-s1930j-18gt2sfp-p-l2-managed-poe-switch-18-port.webp</t>
  </si>
  <si>
    <t>L2 Managed PoE Switch 18 GE + 2 SFP 200W Cloud Managed</t>
  </si>
  <si>
    <t>• L2 Managed 18 Port Gigabit PoE + 2 SFP
• PoE Budget 200W Cloud Managed</t>
  </si>
  <si>
    <t>พอร์ต LAN: 18x Gigabit PoE
พอร์ต SFP: 2x
PoE Budget: 200W
จัดการ: L2 Managed / Cloud</t>
  </si>
  <si>
    <t>Switch,L2Managed,PoE,18Port,Cloud</t>
  </si>
  <si>
    <t>rg-s5300-48gt4xs-e</t>
  </si>
  <si>
    <t>RG-S5300-48GT4XS-E</t>
  </si>
  <si>
    <t>Ruijie RG-S5300-48GT4XS-E L3 Managed Switch 48 Port + 4 SFP+</t>
  </si>
  <si>
    <t>https://sysnetcenter.com/8958-home_default/ruijie-3-rg-s5300-48gt4xs-e-l3-managed-switch-48-port.webp</t>
  </si>
  <si>
    <t>L3 Managed Enterprise Switch 48 GE + 4x 10G SFP+ VSU Dynamic Routing</t>
  </si>
  <si>
    <t>• L3 Managed 48 Port Gigabit + 4x SFP+ 10G
• VSU Virtual Stacking, Dynamic Routing
• รองรับ RIP/OSPF/IS-IS/BGP</t>
  </si>
  <si>
    <t>พอร์ต LAN: 48x Gigabit
พอร์ต SFP+: 4x 10G
Layer: L3 Managed
Routing: RIP/OSPF/IS-IS/BGP
VSU: รองรับ</t>
  </si>
  <si>
    <t>Switch,L3Managed,48Port,10G,VSU,Enterprise</t>
  </si>
  <si>
    <t>rg-cs85-48gt4xs-hpd</t>
  </si>
  <si>
    <t>RG-CS85-48GT4XS-HPD</t>
  </si>
  <si>
    <t>Ruijie RG-CS85-48GT4XS-HPD L3 Managed PoE Switch 48 Port + 8 SFP+</t>
  </si>
  <si>
    <t>https://sysnetcenter.com/14532-home_default/rg-cs85-48gt4xs-hpd-ruijie-l3-managed-poe-switch-48-port.webp</t>
  </si>
  <si>
    <t>L3 Managed PoE Switch 48 GE + 8x 10G SFP+ Cloud Hardware Redundancy</t>
  </si>
  <si>
    <t>• L3 Managed 48 Port Gigabit PoE + 8x SFP+ 10G
• Cloud Managed, Hardware Redundancy
• Dynamic Routing</t>
  </si>
  <si>
    <t>พอร์ต LAN: 48x Gigabit PoE
พอร์ต SFP+: 8x 10G
Layer: L3 Managed
จัดการ: Cloud
Hardware Redundancy: รองรับ</t>
  </si>
  <si>
    <t>Switch,L3Managed,PoE,48Port,Cloud,Enterprise</t>
  </si>
  <si>
    <t>rg-cs83-48gt4xs</t>
  </si>
  <si>
    <t>RG-CS83-48GT4XS</t>
  </si>
  <si>
    <t>Ruijie RG-CS83-48GT4XS L3 Managed Switch 48 Port + 4 SFP+ 6kV</t>
  </si>
  <si>
    <t>https://sysnetcenter.com/11255-home_default/ruijie-rg-cs83-48gt4xs-l3-managed-switch-48-port.webp</t>
  </si>
  <si>
    <t>L3 Managed Switch 48 GE + 4x 10G SFP+ Dynamic Routing 6kV Surge</t>
  </si>
  <si>
    <t>• L3 Managed 48 Port Gigabit + 4x SFP+ 10G
• Dynamic Routing, กันฟ้าผ่า 6kV</t>
  </si>
  <si>
    <t>พอร์ต LAN: 48x Gigabit
พอร์ต SFP+: 4x 10G
Layer: L3 Managed
Surge Protection: 6kV
Routing: Dynamic</t>
  </si>
  <si>
    <t>Switch,L3Managed,48Port,10G,Surge</t>
  </si>
  <si>
    <t>rg-sf2920-8gt2mg2xs-p</t>
  </si>
  <si>
    <t>RG-SF2920-8GT2MG2XS-P</t>
  </si>
  <si>
    <t>Ruijie RG-SF2920-8GT2MG2XS-P 8 Port PoE Switch + 5G + 10G SFP+ 125W</t>
  </si>
  <si>
    <t>https://sysnetcenter.com/10441-home_default/ruijie-rg-sf2920-8gt2mg2xs-p-8-port-poe-switch-5g-10g-sfp.webp</t>
  </si>
  <si>
    <t>8 Port GE PoE + 2x 5G + 2x 10G SFP+ 125W Surge</t>
  </si>
  <si>
    <t>• 8 Port Gigabit PoE + 2x 5G + 2x 10G SFP+
• PoE Budget 125W กันฟ้าผ่า 8kV</t>
  </si>
  <si>
    <t>พอร์ต LAN: 8x Gigabit PoE
พอร์ต 5G: 2x
พอร์ต SFP+: 2x 10G
PoE Budget: 125W
Surge Protection: 8kV</t>
  </si>
  <si>
    <t>Switch,PoE,8Port,MultiGE,10G</t>
  </si>
  <si>
    <t>xs-s1930j-8gt2sfp-p</t>
  </si>
  <si>
    <t>XS-S1930J-8GT2SFP-P</t>
  </si>
  <si>
    <t>Ruijie XS-S1930J-8GT2SFP-P L2 Managed PoE Switch 8 Port 125W</t>
  </si>
  <si>
    <t>https://sysnetcenter.com/9046-home_default/ruijie-xs-s1930j-8gt2sfp-p-l2-managed-poe-switch-8-port.webp</t>
  </si>
  <si>
    <t>L2 Managed PoE Switch 8 GE + 2 SFP 125W Cloud Managed</t>
  </si>
  <si>
    <t>• L2 Managed 8 Port Gigabit PoE + 2 SFP
• PoE Budget 125W Cloud Managed</t>
  </si>
  <si>
    <t>พอร์ต LAN: 8x Gigabit PoE
พอร์ต SFP: 2x
PoE Budget: 125W
จัดการ: L2 Managed / Cloud</t>
  </si>
  <si>
    <t>Switch,L2Managed,PoE,8Port,Cloud</t>
  </si>
  <si>
    <t>rg-cs86-12xmg4vs-up</t>
  </si>
  <si>
    <t>RG-CS86-12XMG4VS-UP</t>
  </si>
  <si>
    <t>Ruijie RG-CS86-12XMG4VS-UP L3 Managed Multi-GE PoE++ Switch 12 Port</t>
  </si>
  <si>
    <t>https://sysnetcenter.com/14542-home_default/rg-cs86-12xmg4vs-up-ruijie-l3-managed-poe-switch-12-port-multi-ge.webp</t>
  </si>
  <si>
    <t>L3 Managed Multi-GE PoE++ Switch 12x 5/2.5/1G + 4x SFP28 10/25G 90W/Port</t>
  </si>
  <si>
    <t>• L3 Managed 12x Multi-GE (5/2.5/1G) + 4x SFP28 10/25G
• PoE++ 90W ต่อพอร์ต Cloud Managed</t>
  </si>
  <si>
    <t>พอร์ต Multi-GE: 12x (5/2.5/1Gbps)
พอร์ต SFP28: 4x 10/25G
PoE++: 90W/Port
Layer: L3 Managed
จัดการ: Cloud</t>
  </si>
  <si>
    <t>Switch,L3Managed,MultiGE,PoEPP,25G,Cloud</t>
  </si>
  <si>
    <t>rg-cs85-48sfp4xs-d</t>
  </si>
  <si>
    <t>RG-CS85-48SFP4XS-D</t>
  </si>
  <si>
    <t>Ruijie RG-CS85-48SFP4XS-D L3 Managed SFP Switch 48 Port + 4 SFP+</t>
  </si>
  <si>
    <t>https://sysnetcenter.com/14525-home_default/rg-cs85-48sfp4xs-d-ruijie-l3-managed-sfp-switch-48-port.webp</t>
  </si>
  <si>
    <t>L3 Managed SFP Switch 48 SFP + 4x 10G SFP+ Cloud IPv4/IPv6</t>
  </si>
  <si>
    <t>• L3 Managed 48 Port SFP + 4x SFP+ 10G
• Cloud Managed, IPv4/IPv6 Dual Stack</t>
  </si>
  <si>
    <t>พอร์ต SFP: 48x
พอร์ต SFP+: 4x 10G
Layer: L3 Managed
IPv4/IPv6: Dual Stack
จัดการ: Cloud</t>
  </si>
  <si>
    <t>Switch,L3Managed,SFP,48Port,10G,Cloud</t>
  </si>
  <si>
    <t>rg-cs83-24gt4xs</t>
  </si>
  <si>
    <t>RG-CS83-24GT4XS</t>
  </si>
  <si>
    <t>Ruijie RG-CS83-24GT4XS L3 Managed Switch 24 Port + 4 SFP+ 6kV</t>
  </si>
  <si>
    <t>https://sysnetcenter.com/11251-home_default/ruijie-rg-cs83-24gt4xs-l3-managed-switch-24-port.webp</t>
  </si>
  <si>
    <t>L3 Managed Switch 24 GE + 4x 10G SFP+ Dynamic Routing 6kV Surge</t>
  </si>
  <si>
    <t>• L3 Managed 24 Port Gigabit + 4x SFP+ 10G
• Dynamic Routing กันฟ้าผ่า 6kV</t>
  </si>
  <si>
    <t>พอร์ต LAN: 24x Gigabit
พอร์ต SFP+: 4x 10G
Layer: L3 Managed
Surge Protection: 6kV
Routing: Dynamic</t>
  </si>
  <si>
    <t>Switch,L3Managed,24Port,10G,Surge</t>
  </si>
  <si>
    <t>rg-s2915-48gt4ms-l</t>
  </si>
  <si>
    <t>RG-S2915-48GT4MS-L</t>
  </si>
  <si>
    <t>Ruijie RG-S2915-48GT4MS-L L2+ Managed Switch 48 Port + 4x 2.5G SFP</t>
  </si>
  <si>
    <t>https://sysnetcenter.com/10778-home_default/ruijie-rg-s2915-48gt4ms-l-l2-managed-switch-48-port.webp</t>
  </si>
  <si>
    <t>L2+ Managed Switch 48 GE + 4x 2.5G SFP 10kV Surge Cloud</t>
  </si>
  <si>
    <t>• L2+ Managed 48 Port Gigabit + 4x SFP 2.5G
• กันฟ้าผ่า 10kV Cloud Managed</t>
  </si>
  <si>
    <t>พอร์ต LAN: 48x Gigabit
พอร์ต SFP: 4x 2.5G
Layer: L2+ Managed
Surge Protection: 10kV
จัดการ: Cloud</t>
  </si>
  <si>
    <t>Switch,L2Managed,48Port,2.5G,Surge,Cloud</t>
  </si>
  <si>
    <t>rg-sf2920-8gt2mg2xs</t>
  </si>
  <si>
    <t>RG-SF2920-8GT2MG2XS</t>
  </si>
  <si>
    <t>Ruijie RG-SF2920-8GT2MG2XS 8 Port Switch + 2.5G + 2x 10G SFP+</t>
  </si>
  <si>
    <t>https://sysnetcenter.com/10434-home_default/ruijie-rg-sf2920-8gt2mg2xs-8-port-switch-2g-port-lan-10g-sfp.webp</t>
  </si>
  <si>
    <t>8 Port GE + 2x 2.5G LAN + 2x 10G SFP+ Unmanaged 8kV Surge VLAN</t>
  </si>
  <si>
    <t>• 8 Port Gigabit + 2x 2.5G + 2x 10G SFP+
• Unmanaged กันฟ้าผ่า 8kV VLAN/Link Aggregate</t>
  </si>
  <si>
    <t>พอร์ต LAN: 8x Gigabit + 2x 2.5G
พอร์ต SFP+: 2x 10G
Surge Protection: 8kV
VLAN: รองรับ</t>
  </si>
  <si>
    <t>Switch,Unmanaged,8Port,MultiGE,10G</t>
  </si>
  <si>
    <t>xs-s1930j-48gt4sfp</t>
  </si>
  <si>
    <t>XS-S1930J-48GT4SFP</t>
  </si>
  <si>
    <t>Ruijie XS-S1930J-48GT4SFP L2 Managed Gigabit Switch 48 Port + 4 SFP</t>
  </si>
  <si>
    <t>https://sysnetcenter.com/9037-home_default/ruijie-xs-s1930j-48gt4sfp-l2-managed-gigabit-switch-48-port-4-port-sfp.webp</t>
  </si>
  <si>
    <t>L2 Managed Gigabit Switch 48 GE + 4 SFP Cloud Managed VLAN LACP IGMP</t>
  </si>
  <si>
    <t>• L2 Managed 48 Port Gigabit + 4 SFP
• Cloud Managed VLAN/LACP/IGMP</t>
  </si>
  <si>
    <t>พอร์ต LAN: 48x Gigabit
พอร์ต SFP: 4x
Layer: L2 Managed
จัดการ: Cloud
VLAN/LACP/IGMP: รองรับ</t>
  </si>
  <si>
    <t>Switch,L2Managed,48Port,Cloud,SFP</t>
  </si>
  <si>
    <t>rg-s5750c-48sfp4xs-h</t>
  </si>
  <si>
    <t>RG-S5750C-48SFP4XS-H</t>
  </si>
  <si>
    <t>Ruijie RG-S5750C-48SFP4XS-H L3 Managed SFP Switch 48 Port + 4 SFP+</t>
  </si>
  <si>
    <t>https://sysnetcenter.com/8664-home_default/ruijie-rg-s5750c-48sfp4xs-h-l3-managed-sfp-switch-48-port.webp</t>
  </si>
  <si>
    <t>L3 Managed SFP Switch 48 SFP + 4 SFP+ + 8 Combo IPv4/IPv6 Full Routing</t>
  </si>
  <si>
    <t>• L3 Managed 48 SFP + 4 SFP+ + 8 Combo
• IPv4/IPv6, RIP/OSPF/IS-IS/BGP</t>
  </si>
  <si>
    <t>พอร์ต SFP: 48x
พอร์ต SFP+: 4x
Combo Port: 8x
Layer: L3 Managed
Routing: RIP/OSPF/IS-IS/BGP</t>
  </si>
  <si>
    <t>Switch,L3Managed,SFP,48Port,FullRouting</t>
  </si>
  <si>
    <t>rg-s2910c-48gt2xs-hp-e</t>
  </si>
  <si>
    <t>RG-S2910C-48GT2XS-HP-E</t>
  </si>
  <si>
    <t>Ruijie RG-S2910C-48GT2XS-HP-E L2 Managed PoE Switch 48 Port + 2x 10G</t>
  </si>
  <si>
    <t>https://sysnetcenter.com/7812-home_default/ruijie-rg-s2910c-48gt2xs-hp-e-l2-managed-gigabit-poe-switch-48-port-sfp-plus.webp</t>
  </si>
  <si>
    <t>L2 Managed PoE Switch 48 GE + 2x 10G SFP+ SDN OpenFlow VLAN QoS</t>
  </si>
  <si>
    <t>• L2 Managed 48 Port Gigabit PoE + 2x SFP+ 10G
• SDN/OpenFlow, VLAN, QoS</t>
  </si>
  <si>
    <t>พอร์ต LAN: 48x Gigabit PoE
พอร์ต SFP+: 2x 10G
Layer: L2 Managed
SDN/OpenFlow: รองรับ
VLAN/QoS: รองรับ</t>
  </si>
  <si>
    <t>Switch,L2Managed,PoE,48Port,10G,SDN</t>
  </si>
  <si>
    <t>rg-cs85-48gt4xs-d</t>
  </si>
  <si>
    <t>RG-CS85-48GT4XS-D</t>
  </si>
  <si>
    <t>Ruijie RG-CS85-48GT4XS-D L3 Managed Switch 48 Port + 8x 10G SFP+</t>
  </si>
  <si>
    <t>https://sysnetcenter.com/14514-home_default/rg-cs85-48gt4xs-d-ruijie-l3-managed-switch-48-port-8-sfp.webp</t>
  </si>
  <si>
    <t>L3 Managed Switch 48 GE + 8x 10G SFP+ Cloud VSU Hardware Redundancy</t>
  </si>
  <si>
    <t>• L3 Managed 48 Port Gigabit + 8x SFP+ 10G
• Cloud Managed VSU Hardware Redundancy Dynamic Routing</t>
  </si>
  <si>
    <t>พอร์ต LAN: 48x Gigabit
พอร์ต SFP+: 8x 10G
Layer: L3 Managed
จัดการ: Cloud
VSU/Hardware Redundancy: รองรับ</t>
  </si>
  <si>
    <t>Switch,L3Managed,48Port,10G,Cloud,VSU</t>
  </si>
  <si>
    <t>rg-cs83-12gt4xs-p</t>
  </si>
  <si>
    <t>RG-CS83-12GT4XS-P</t>
  </si>
  <si>
    <t>Ruijie RG-CS83-12GT4XS-P L3 Managed PoE Switch 12 Port + 4x 10G 370W</t>
  </si>
  <si>
    <t>https://sysnetcenter.com/11247-home_default/ruijie-rg-cs83-12gt4xs-p-l3-managed-poe-switch-12-port-4-port-sfp-poe.webp</t>
  </si>
  <si>
    <t>L3 Managed PoE Switch 12 GE + 4x 10G SFP+ 370W 6kV Dynamic Routing</t>
  </si>
  <si>
    <t>• L3 Managed 12 Port Gigabit PoE + 4x SFP+ 10G
• PoE Budget 370W กันฟ้าผ่า 6kV Dynamic Routing</t>
  </si>
  <si>
    <t>พอร์ต LAN: 12x Gigabit PoE
พอร์ต SFP+: 4x 10G
PoE Budget: 370W
Surge Protection: 6kV
Routing: Dynamic</t>
  </si>
  <si>
    <t>Switch,L3Managed,PoE,12Port,10G,Surge</t>
  </si>
  <si>
    <t>rg-cs86-24mg4vs-up</t>
  </si>
  <si>
    <t>RG-CS86-24MG4VS-UP</t>
  </si>
  <si>
    <t>Ruijie RG-CS86-24MG4VS-UP L3 Managed PoE Multi-GE Switch 24 Port + SFP28</t>
  </si>
  <si>
    <t>https://sysnetcenter.com/11237-home_default/rg-cs86-24mg4vs-up-l3-managed-poe-multi-ge-switch-24-port-4-port-sfp28.webp</t>
  </si>
  <si>
    <t>L3 Managed PoE Multi-GE Switch 24x 5/2.5/1G + 4x SFP28 10/25G 90W/Port</t>
  </si>
  <si>
    <t>• L3 Managed 24x Multi-GE (5/2.5/1G) + 4x SFP28 10/25G
• PoE++ 90W ต่อพอร์ต Cloud Managed</t>
  </si>
  <si>
    <t>พอร์ต Multi-GE: 24x (5/2.5/1Gbps)
พอร์ต SFP28: 4x 10/25G
PoE++: 90W/Port
Layer: L3 Managed
จัดการ: Cloud</t>
  </si>
  <si>
    <t>rg-s2915-24gt4ms-p-l</t>
  </si>
  <si>
    <t>RG-S2915-24GT4MS-P-L</t>
  </si>
  <si>
    <t>Ruijie RG-S2915-24GT4MS-P-L L2+ Managed PoE Switch 24 Port + 4x 2.5G 370W</t>
  </si>
  <si>
    <t>https://sysnetcenter.com/10775-home_default/ruijie-rg-s2915-24gt4ms-p-l-l2-managed-poe-switch-24-port-gigabit.webp</t>
  </si>
  <si>
    <t>L2+ Managed PoE Switch 24 GE + 4x SFP 2.5G 370W 10kV Surge</t>
  </si>
  <si>
    <t>• L2+ Managed 24 Port Gigabit PoE + 4x SFP 2.5G
• PoE Budget 370W กันฟ้าผ่า 10kV</t>
  </si>
  <si>
    <t>พอร์ต LAN: 24x Gigabit PoE
พอร์ต SFP: 4x 2.5G
PoE Budget: 370W
Surge Protection: 10kV
Layer: L2+ Managed</t>
  </si>
  <si>
    <t>Switch,L2Managed,PoE,24Port,2.5G,Surge</t>
  </si>
  <si>
    <t>rg-sf2920u-8gt1ms-p</t>
  </si>
  <si>
    <t>RG-SF2920U-8GT1MS-P</t>
  </si>
  <si>
    <t>Ruijie RG-SF2920U-8GT1MS-P 8 Port PoE Switch + 2.5G SFP 125W 8kV</t>
  </si>
  <si>
    <t>https://sysnetcenter.com/10425-home_default/ruijie-rg-sf2920u-8gt1ms-p-8-port-poe-switch-2g-sfp.webp</t>
  </si>
  <si>
    <t>8 Port GE PoE + 2.5G SFP Uplink 125W 8kV Surge VLAN</t>
  </si>
  <si>
    <t>• 8 Port Gigabit PoE + SFP 2.5G Uplink
• PoE Budget 125W กันฟ้าผ่า 8kV VLAN</t>
  </si>
  <si>
    <t>พอร์ต LAN: 8x Gigabit PoE
พอร์ต SFP: 1x 2.5G
PoE Budget: 125W
Surge Protection: 8kV
VLAN: รองรับ</t>
  </si>
  <si>
    <t>Switch,PoE,8Port,2.5G,Surge</t>
  </si>
  <si>
    <t>xs-s1930j-24gt4sfp-2gt</t>
  </si>
  <si>
    <t>XS-S1930J-24GT4SFP/2GT</t>
  </si>
  <si>
    <t>Ruijie XS-S1930J-24GT4SFP/2GT L2 Managed Switch 24 GE + 2x 2.5G + 4 SFP</t>
  </si>
  <si>
    <t>https://sysnetcenter.com/9032-home_default/ruijie-xs-s1930j-24gt4sfp2gt-l2-managed-gigabit-switch-26-port-4-port-sfp.webp</t>
  </si>
  <si>
    <t>L2 Managed Switch 24 GE + 2x 2.5G LAN + 4 SFP Cloud VLAN LACP IGMP</t>
  </si>
  <si>
    <t>• L2 Managed 24 Port Gigabit + 2x 2.5G + 4 SFP
• Cloud Managed VLAN/LACP/IGMP</t>
  </si>
  <si>
    <t>พอร์ต LAN: 24x Gigabit + 2x 2.5G
พอร์ต SFP: 4x
Layer: L2 Managed
จัดการ: Cloud</t>
  </si>
  <si>
    <t>Switch,L2Managed,24Port,2.5G,Cloud,SFP</t>
  </si>
  <si>
    <t>rg-s1826g-p</t>
  </si>
  <si>
    <t>RG-S1826G-P</t>
  </si>
  <si>
    <t>Ruijie RG-S1826G-P Unmanaged PoE Switch 24 Port 370W + 2 SFP</t>
  </si>
  <si>
    <t>https://sysnetcenter.com/8915-home_default/ruijie-rg-s1826g-p-unmanaged-gigabit-poe-switch-24-port-poe-370w.webp</t>
  </si>
  <si>
    <t>Unmanaged PoE Switch 24 GE + 2 SFP 370W 802.3af/at Steel Chassis</t>
  </si>
  <si>
    <t>• Unmanaged 24 Port Gigabit PoE + 2 SFP
• PoE Budget 370W (802.3af/at) ตัวเหล็ก</t>
  </si>
  <si>
    <t>พอร์ต LAN: 24x Gigabit PoE
พอร์ต SFP: 2x
PoE Budget: 370W
Standard: 802.3af/at
Chassis: Steel</t>
  </si>
  <si>
    <t>Switch,Unmanaged,PoE,24Port,SFP</t>
  </si>
  <si>
    <t>rg-s5760c-24sfp-8gt8xs-x</t>
  </si>
  <si>
    <t>RG-S5760C-24SFP/8GT8XS-X</t>
  </si>
  <si>
    <t>Ruijie RG-S5760C-24SFP/8GT8XS-X L3 Managed Switch 24 SFP + 8x 10G</t>
  </si>
  <si>
    <t>https://sysnetcenter.com/8903-home_default/ruijie-rg-s5760c-24sfp8gt8xs-x-l3-managed-switch-24-port-sfp-8-port-sfp-plus.webp</t>
  </si>
  <si>
    <t>Full L3 Managed 24 SFP + 8x 10G SFP+ + 8 GE Combo OSPF BGP</t>
  </si>
  <si>
    <t>• Full L3 Managed 24 SFP + 8x SFP+ 10G + 8 GE Combo
• Dynamic Routing OSPF/BGP</t>
  </si>
  <si>
    <t>พอร์ต SFP: 24x
พอร์ต SFP+: 8x 10G
Combo Port: 8x Gigabit
Routing: OSPF/BGP
Layer: Full L3</t>
  </si>
  <si>
    <t>Switch,L3Managed,SFP,10G,FullRouting</t>
  </si>
  <si>
    <t>rg-s5300-24gt4xs-e</t>
  </si>
  <si>
    <t>RG-S5300-24GT4XS-E</t>
  </si>
  <si>
    <t>Ruijie RG-S5300-24GT4XS-E L3 Managed Switch 24 Port + 4x 10G VSU</t>
  </si>
  <si>
    <t>https://sysnetcenter.com/8955-home_default/ruijie-3-rg-s5300-24gt4xs-e-l3-managed-switch-24-port.webp</t>
  </si>
  <si>
    <t>L3 Managed Switch 24 GE + 4x 10G SFP+ VSU IPv4/IPv6 Full Routing</t>
  </si>
  <si>
    <t>• L3 Managed 24 Port Gigabit + 4x SFP+ 10G
• VSU, IPv4/IPv6, RIP/OSPF/IS-IS/BGP</t>
  </si>
  <si>
    <t>พอร์ต LAN: 24x Gigabit
พอร์ต SFP+: 4x 10G
Layer: L3 Managed
VSU: รองรับ
Routing: RIP/OSPF/IS-IS/BGP</t>
  </si>
  <si>
    <t>Switch,L3Managed,24Port,10G,VSU</t>
  </si>
  <si>
    <t>rg-s5750c-28sfp4xs-h</t>
  </si>
  <si>
    <t>RG-S5750C-28SFP4XS-H</t>
  </si>
  <si>
    <t>Ruijie RG-S5750C-28SFP4XS-H L3 Managed SFP Switch 28 Port + 4 SFP+</t>
  </si>
  <si>
    <t>https://sysnetcenter.com/8663-home_default/ruijie-rg-s5750c-28sfp4xs-h-l3-managed-sfp-switch-28-port.webp</t>
  </si>
  <si>
    <t>L3 Managed SFP Switch 28 SFP + 4 SFP+ + 8 Combo IPv4/IPv6 Full Routing</t>
  </si>
  <si>
    <t>• L3 Managed 28 SFP + 4 SFP+ + 8 Combo
• IPv4/IPv6, RIP/OSPF/IS-IS/BGP</t>
  </si>
  <si>
    <t>พอร์ต SFP: 28x
พอร์ต SFP+: 4x
Combo Port: 8x
Routing: RIP/OSPF/IS-IS/BGP</t>
  </si>
  <si>
    <t>Switch,L3Managed,SFP,28Port,FullRouting</t>
  </si>
  <si>
    <t>rg-s2910c-24gt2xs-hp-e</t>
  </si>
  <si>
    <t>RG-S2910C-24GT2XS-HP-E</t>
  </si>
  <si>
    <t>Ruijie RG-S2910C-24GT2XS-HP-E L2 Managed PoE Switch 24 Port + 2x 10G</t>
  </si>
  <si>
    <t>https://sysnetcenter.com/7811-home_default/ruijie-rg-s2910c-24gt2xs-hp-e-l2-managed-gigabit-poe-switch-24-port-sfp-plus.webp</t>
  </si>
  <si>
    <t>L2 Managed PoE Switch 24 GE + 2x 10G SFP+ SDN OpenFlow VLAN QoS</t>
  </si>
  <si>
    <t>• L2 Managed 24 Port Gigabit PoE + 2x SFP+ 10G
• SDN/OpenFlow, VLAN, QoS</t>
  </si>
  <si>
    <t>พอร์ต LAN: 24x Gigabit PoE
พอร์ต SFP+: 2x 10G
Layer: L2 Managed
SDN/OpenFlow: รองรับ</t>
  </si>
  <si>
    <t>Switch,L2Managed,PoE,24Port,10G,SDN</t>
  </si>
  <si>
    <t>rg-es109g-lp-l</t>
  </si>
  <si>
    <t>RG-ES109G-LP-L</t>
  </si>
  <si>
    <t>Ruijie RG-ES109G-LP-L Unmanaged PoE Switch 8 Port 54W + 1 Uplink</t>
  </si>
  <si>
    <t>https://sysnetcenter.com/7726-home_default/ruijie-rg-es109g-lp-l-unmanaged-gigabit-poe-switch-8-port.webp</t>
  </si>
  <si>
    <t>Unmanaged PoE Switch 8 GE + 1 Uplink 54W 802.3af/at Budget</t>
  </si>
  <si>
    <t>• Unmanaged 8 Port Gigabit PoE + 1 Uplink
• PoE Budget 54W (802.3af/at)</t>
  </si>
  <si>
    <t>พอร์ต LAN: 8x Gigabit PoE
พอร์ต Uplink: 1x
PoE Budget: 54W
Standard: 802.3af/at</t>
  </si>
  <si>
    <t>Switch,Unmanaged,PoE,8Port,Budget</t>
  </si>
  <si>
    <t>rg-cs85-24sfp-8gt8xs-d</t>
  </si>
  <si>
    <t>RG-CS85-24SFP/8GT8XS-D</t>
  </si>
  <si>
    <t>Ruijie RG-CS85-24SFP/8GT8XS-D L3 Managed Switch 24 SFP + 8x 10G Cloud</t>
  </si>
  <si>
    <t>https://sysnetcenter.com/14512-home_default/rg-cs85-24sfp8gt8xs-d-ruijie-l3-managed-switch-24-sfp-8-sfp-plus.webp</t>
  </si>
  <si>
    <t>L3 Managed Switch 24 SFP + 8x 10G SFP+ Cloud Dynamic Routing</t>
  </si>
  <si>
    <t>• L3 Managed 24 SFP + 8x SFP+ 10G
• Cloud Managed Dynamic Routing</t>
  </si>
  <si>
    <t>พอร์ต SFP: 24x
พอร์ต SFP+: 8x 10G
Layer: L3 Managed
จัดการ: Cloud
Routing: Dynamic</t>
  </si>
  <si>
    <t>Switch,L3Managed,SFP,10G,Cloud</t>
  </si>
  <si>
    <t>rg-cs83-48gt4xs-p</t>
  </si>
  <si>
    <t>RG-CS83-48GT4XS-P</t>
  </si>
  <si>
    <t>Ruijie RG-CS83-48GT4XS-P L3 Managed PoE Switch 48 Port + 4x 10G 370W</t>
  </si>
  <si>
    <t>https://sysnetcenter.com/11243-home_default/ruijie-rg-cs83-48gt4xs-p-l3-managed-poe-switch-48-port-4-port-sfp-poe.webp</t>
  </si>
  <si>
    <t>L3 Managed PoE Switch 48 GE + 4x 10G SFP+ 370W 6kV Surge</t>
  </si>
  <si>
    <t>• L3 Managed 48 Port Gigabit PoE + 4x SFP+ 10G
• PoE Budget 370W กันฟ้าผ่า 6kV</t>
  </si>
  <si>
    <t>พอร์ต LAN: 48x Gigabit PoE
พอร์ต SFP+: 4x 10G
PoE Budget: 370W
Surge Protection: 6kV
Layer: L3 Managed</t>
  </si>
  <si>
    <t>Switch,L3Managed,PoE,48Port,10G,Surge</t>
  </si>
  <si>
    <t>rg-cs86-24xmg4xs4vs-upd</t>
  </si>
  <si>
    <t>RG-CS86-24XMG4XS4VS-UPD</t>
  </si>
  <si>
    <t>Ruijie RG-CS86-24XMG4XS4VS-UPD L3 Managed PoE Multi-GE Switch 24 Port SFP28</t>
  </si>
  <si>
    <t>https://sysnetcenter.com/11213-home_default/rg-cs86-24xmg4xs4vs-upd-l3-managed-poe-multi-ge-switch-24-port-4-port-sfp28.webp</t>
  </si>
  <si>
    <t>• L3 Managed 24x Multi-GE (5/2.5/1G) + 4x SFP28 10/25G
• PoE++ 90W ต่อพอร์ต</t>
  </si>
  <si>
    <t>พอร์ต Multi-GE: 24x (5/2.5/1Gbps)
พอร์ต SFP28: 4x 10/25G
PoE++: 90W/Port
Layer: L3 Managed</t>
  </si>
  <si>
    <t>Switch,L3Managed,MultiGE,PoEPP,25G</t>
  </si>
  <si>
    <t>rg-s2915-24gt4ms-l</t>
  </si>
  <si>
    <t>RG-S2915-24GT4MS-L</t>
  </si>
  <si>
    <t>Ruijie RG-S2915-24GT4MS-L L2+ Managed Switch 24 Port + 4x 2.5G SFP</t>
  </si>
  <si>
    <t>https://sysnetcenter.com/10895-home_default/ruijie-rg-s2915-24gt4ms-l-l2-managed-switch-24-port-lan-10gbps.webp</t>
  </si>
  <si>
    <t>L2+ Managed Switch 24 GE + 4x SFP 2.5G 10kV Surge Cloud</t>
  </si>
  <si>
    <t>• L2+ Managed 24 Port Gigabit + 4x SFP 2.5G
• กันฟ้าผ่า 10kV Cloud Managed</t>
  </si>
  <si>
    <t>พอร์ต LAN: 24x Gigabit
พอร์ต SFP: 4x 2.5G
Layer: L2+ Managed
Surge Protection: 10kV
จัดการ: Cloud</t>
  </si>
  <si>
    <t>Switch,L2Managed,24Port,2.5G,Surge,Cloud</t>
  </si>
  <si>
    <t>rg-sf2920u-8gt1ms</t>
  </si>
  <si>
    <t>RG-SF2920U-8GT1MS</t>
  </si>
  <si>
    <t>Ruijie RG-SF2920U-8GT1MS 8 Port Switch + 2.5G SFP Uplink 8kV</t>
  </si>
  <si>
    <t>https://sysnetcenter.com/10420-home_default/ruijie-rg-sf2920u-8gt1ms-8-port-switch-25g-uplink-optical-port.webp</t>
  </si>
  <si>
    <t>8 Port GE + 2.5G SFP Uplink Unmanaged 8kV Surge VLAN</t>
  </si>
  <si>
    <t>• 8 Port Gigabit + SFP 2.5G Uplink
• Unmanaged กันฟ้าผ่า 8kV VLAN</t>
  </si>
  <si>
    <t>พอร์ต LAN: 8x Gigabit
พอร์ต SFP: 1x 2.5G
Surge Protection: 8kV
VLAN: รองรับ</t>
  </si>
  <si>
    <t>Switch,Unmanaged,8Port,2.5G,Surge</t>
  </si>
  <si>
    <t>xs-s1930j-18gt-2sfp</t>
  </si>
  <si>
    <t>XS-S1930J-18GT2SFP</t>
  </si>
  <si>
    <t>Ruijie XS-S1930J-18GT2SFP L2 Managed Gigabit Switch 18 Port + 2 SFP</t>
  </si>
  <si>
    <t>https://sysnetcenter.com/9025-home_default/ruijie-xs-s1930j-18gt-2sfp-l2-managed-gigabit-switch-18-port-2-port-sfp.webp</t>
  </si>
  <si>
    <t>L2 Managed Gigabit Switch 18 GE + 2 SFP Cloud VLAN LACP</t>
  </si>
  <si>
    <t>• L2 Managed 18 Port Gigabit + 2 SFP
• Cloud Managed VLAN LACP</t>
  </si>
  <si>
    <t>พอร์ต LAN: 18x Gigabit
พอร์ต SFP: 2x
Layer: L2 Managed
จัดการ: Cloud</t>
  </si>
  <si>
    <t>Switch,L2Managed,18Port,Cloud,SFP</t>
  </si>
  <si>
    <t>rg-s1810g-p</t>
  </si>
  <si>
    <t>RG-S1810G-P</t>
  </si>
  <si>
    <t>Ruijie RG-S1810G-P Unmanaged PoE Switch 8 Port + 2 SFP 124W</t>
  </si>
  <si>
    <t>https://sysnetcenter.com/8913-home_default/ruijie-rg-s1810g-p-unmanaged-gigabit-poe-switch-8-port-2-sfp.webp</t>
  </si>
  <si>
    <t>Unmanaged PoE Switch 8 GE + 2 SFP 124W Steel Chassis</t>
  </si>
  <si>
    <t>• Unmanaged 8 Port Gigabit PoE + 2 SFP
• PoE Budget 124W ตัวเหล็ก</t>
  </si>
  <si>
    <t>พอร์ต LAN: 8x Gigabit PoE
พอร์ต SFP: 2x
PoE Budget: 124W
Chassis: Steel</t>
  </si>
  <si>
    <t>Switch,Unmanaged,PoE,8Port,SFP</t>
  </si>
  <si>
    <t>rg-s5760c-48gt4xs-x</t>
  </si>
  <si>
    <t>RG-S5760C-48GT4XS-X</t>
  </si>
  <si>
    <t>Ruijie RG-S5760C-48GT4XS-X Full L3 Managed Switch 48 Port + 4x 10G</t>
  </si>
  <si>
    <t>https://sysnetcenter.com/8902-home_default/ruijie-rg-s5760c-48gt4xs-x-l3-managed-gigabit-switch-48-port-4-port-sfp-plus.webp</t>
  </si>
  <si>
    <t>Full L3 Managed Switch 48 GE + 4x 10G SFP+ Dynamic Routing OSPF BGP</t>
  </si>
  <si>
    <t>• Full L3 Managed 48 Port Gigabit + 4x SFP+ 10G
• Dynamic Routing OSPF/BGP</t>
  </si>
  <si>
    <t>พอร์ต LAN: 48x Gigabit
พอร์ต SFP+: 4x 10G
Layer: Full L3 Managed
Routing: OSPF/BGP</t>
  </si>
  <si>
    <t>Switch,L3Managed,48Port,10G,FullRouting</t>
  </si>
  <si>
    <t>rg-s5750c-48gt4xs-h</t>
  </si>
  <si>
    <t>RG-S5750C-48GT4XS-H</t>
  </si>
  <si>
    <t>Ruijie RG-S5750C-48GT4XS-H L3 Managed Switch 48 Port + 4x 10G SFP+</t>
  </si>
  <si>
    <t>https://sysnetcenter.com/8658-home_default/ruijie-rg-s5750c-48gt4xs-h-l3-managed-gigabit-switch-48-port.webp</t>
  </si>
  <si>
    <t>L3 Managed Switch 48 GE + 4x 10G SFP+ IPv4/IPv6 OSPF BGP</t>
  </si>
  <si>
    <t>• L3 Managed 48 Port Gigabit + 4x SFP+ 10G
• IPv4/IPv6 Dual Stack, OSPF, BGP</t>
  </si>
  <si>
    <t>พอร์ต LAN: 48x Gigabit
พอร์ต SFP+: 4x 10G
Layer: L3 Managed
IPv4/IPv6: Dual Stack
Routing: OSPF/BGP</t>
  </si>
  <si>
    <t>rg-s2910-48gt4xs-e</t>
  </si>
  <si>
    <t>RG-S2910-48GT4XS-E</t>
  </si>
  <si>
    <t>Ruijie RG-S2910-48GT4XS-E L2 Managed Switch 48 Port + 4x 10G SFP+</t>
  </si>
  <si>
    <t>https://sysnetcenter.com/7736-home_default/ruijie-rg-s2910-48gt4xs-e-l2-managed-gigabit-switch-48-port.webp</t>
  </si>
  <si>
    <t>L2 Managed Switch 48 GE + 4x 10G SFP+ SDN OpenFlow VLAN QoS</t>
  </si>
  <si>
    <t>• L2 Managed 48 Port Gigabit + 4x SFP+ 10G
• SDN/OpenFlow, VLAN, QoS</t>
  </si>
  <si>
    <t>พอร์ต LAN: 48x Gigabit
พอร์ต SFP+: 4x 10G
Layer: L2 Managed
SDN/OpenFlow: รองรับ
VLAN/QoS: รองรับ</t>
  </si>
  <si>
    <t>Switch,L2Managed,48Port,10G,SDN</t>
  </si>
  <si>
    <t>rg-es126g-lp-l</t>
  </si>
  <si>
    <t>RG-ES126G-LP-L</t>
  </si>
  <si>
    <t>Ruijie RG-ES126G-LP-L Unmanaged PoE Switch 24 Port + 2 SFP 180W</t>
  </si>
  <si>
    <t>https://sysnetcenter.com/7718-home_default/ruijie-rg-es126g-lp-l-unmanaged-gigabit-poe-switch-24-port-180w.webp</t>
  </si>
  <si>
    <t>Unmanaged PoE Switch 24 GE + 2 SFP 180W 802.3af/at</t>
  </si>
  <si>
    <t>• Unmanaged 24 Port Gigabit PoE + 2 SFP
• PoE Budget 180W (802.3af/at)</t>
  </si>
  <si>
    <t>พอร์ต LAN: 24x Gigabit PoE
พอร์ต SFP: 2x
PoE Budget: 180W
Standard: 802.3af/at</t>
  </si>
  <si>
    <t>rg-s2952g-e-v3</t>
  </si>
  <si>
    <t>RG-S2952G-E V3</t>
  </si>
  <si>
    <t>Ruijie RG-S2952G-E V3 L3 Managed Switch 48 Port + 4 SFP</t>
  </si>
  <si>
    <t>https://sysnetcenter.com/7707-home_default/ruijie-rg-s2952g-e-v3-l3-managed-gigabit-switch-48-port.webp</t>
  </si>
  <si>
    <t>L3 Managed Switch 48 GE + 4 SFP Static/Dynamic Routing VSU QoS</t>
  </si>
  <si>
    <t>• L3 Managed 48 Port Gigabit + 4 SFP
• Static/Dynamic Routing VSU VRRP QoS</t>
  </si>
  <si>
    <t>พอร์ต LAN: 48x Gigabit
พอร์ต SFP: 4x
Layer: L3 Managed
VSU: รองรับ
Routing: Static/Dynamic</t>
  </si>
  <si>
    <t>Switch,L3Managed,48Port,SFP,VSU</t>
  </si>
  <si>
    <t>rg-cs85-24gt8xs-d</t>
  </si>
  <si>
    <t>RG-CS85-24GT8XS-D</t>
  </si>
  <si>
    <t>Ruijie RG-CS85-24GT8XS-D L3 Managed Switch 24 Port + 8x 10G SFP+</t>
  </si>
  <si>
    <t>https://sysnetcenter.com/14498-home_default/rg-cs85-24gt8xs-d-ruijie-l3-managed-switch-24-port-8-port-sfp.webp</t>
  </si>
  <si>
    <t>L3 Managed Switch 24 GE + 8x 10G SFP+ Cloud Dynamic Routing</t>
  </si>
  <si>
    <t>• L3 Managed 24 Port Gigabit + 8x SFP+ 10G
• Cloud Managed Dynamic Routing</t>
  </si>
  <si>
    <t>พอร์ต LAN: 24x Gigabit
พอร์ต SFP+: 8x 10G
Layer: L3 Managed
จัดการ: Cloud
Routing: Dynamic</t>
  </si>
  <si>
    <t>Switch,L3Managed,24Port,10G,Cloud</t>
  </si>
  <si>
    <t>rg-s5315-24mg6xs-up-e</t>
  </si>
  <si>
    <t>RG-S5315-24MG6XS-UP-E</t>
  </si>
  <si>
    <t>Ruijie RG-S5315-24MG6XS-UP-E L3 Managed PoE++ Switch 24x 2.5G + 6 SFP+</t>
  </si>
  <si>
    <t>https://sysnetcenter.com/14219-home_default/rg-s5315-24mg6xs-up-e-ruijie-l3-managed-poe-switch-24port-multi-gig.webp</t>
  </si>
  <si>
    <t>L3 Managed PoE++ Switch 24x 2.5G + 6x SFP+ 10G 90W/Port</t>
  </si>
  <si>
    <t>• L3 Managed 24x 2.5G PoE++ + 6x SFP+ 10G
• PoE++ 90W ต่อพอร์ต</t>
  </si>
  <si>
    <t>พอร์ต 2.5G: 24x PoE++
พอร์ต SFP+: 6x 10G
PoE++: 90W/Port
Layer: L3 Managed</t>
  </si>
  <si>
    <t>Switch,L3Managed,MultiGE,PoEPP,10G</t>
  </si>
  <si>
    <t>rg-cs83-24gt4xs-p</t>
  </si>
  <si>
    <t>RG-CS83-24GT4XS-P</t>
  </si>
  <si>
    <t>Ruijie RG-CS83-24GT4XS-P L3 Managed PoE Switch 24 Port + 4x 10G 370W</t>
  </si>
  <si>
    <t>https://sysnetcenter.com/11240-home_default/ruijie-rg-cs83-24gt4xs-p-l3-managed-poe-switch-24-port-4-port-sfp.webp</t>
  </si>
  <si>
    <t>L3 Managed PoE Switch 24 GE + 4x 10G SFP+ 370W Cloud Managed</t>
  </si>
  <si>
    <t>• L3 Managed 24 Port Gigabit PoE + 4x SFP+ 10G
• PoE Budget 370W Cloud Managed</t>
  </si>
  <si>
    <t>พอร์ต LAN: 24x Gigabit PoE
พอร์ต SFP+: 4x 10G
PoE Budget: 370W
Layer: L3 Managed
จัดการ: Cloud</t>
  </si>
  <si>
    <t>Switch,L3Managed,PoE,24Port,10G,Cloud</t>
  </si>
  <si>
    <t>rg-cs86-48mg4vs2qxs-upd</t>
  </si>
  <si>
    <t>RG-CS86-48MG4VS2QXS-UPD</t>
  </si>
  <si>
    <t>Ruijie RG-CS86-48MG4VS2QXS-UPD L3 Managed PoE Multi-GE Switch 48 Port</t>
  </si>
  <si>
    <t>https://sysnetcenter.com/11207-home_default/rg-cs86-48mg4vs2qxs-upd-l3-managed-poe-multi-ge-switch-48-port-4-port-sfp28.webp</t>
  </si>
  <si>
    <t>L3 Managed PoE Multi-GE Switch 48x 5/2.5/1G + 4x SFP28 10/25G 90W/Port 6kV</t>
  </si>
  <si>
    <t>• L3 Managed 48x Multi-GE (5/2.5/1G) + 4x SFP28 10/25G
• PoE++ 90W กันฟ้าผ่า 6kV</t>
  </si>
  <si>
    <t>พอร์ต Multi-GE: 48x (5/2.5/1Gbps)
พอร์ต SFP28: 4x 10/25G
PoE++: 90W/Port
Surge Protection: 6kV
Layer: L3 Managed</t>
  </si>
  <si>
    <t>Switch,L3Managed,MultiGE,PoEPP,25G,48Port</t>
  </si>
  <si>
    <t>rg-s2915-10gt2ms-p-l</t>
  </si>
  <si>
    <t>RG-S2915-10GT2MS-P-L</t>
  </si>
  <si>
    <t>Ruijie RG-S2915-10GT2MS-P-L L2+ Managed PoE+ Switch 8 Port + 2x 2.5G SFP</t>
  </si>
  <si>
    <t>https://sysnetcenter.com/10771-home_default/ruijie-rg-s2915-10gt2ms-p-l-l2-managed-poe-switch-8-port-lan.webp</t>
  </si>
  <si>
    <t>L2+ Managed PoE+ Switch 8 GE + 2x SFP 2.5G 125W 10kV Surge</t>
  </si>
  <si>
    <t>• L2+ Managed 8 Port Gigabit PoE+ + 2x SFP 2.5G
• PoE Budget 125W กันฟ้าผ่า 10kV</t>
  </si>
  <si>
    <t>พอร์ต LAN: 8x Gigabit PoE+
พอร์ต SFP: 2x 2.5G
PoE Budget: 125W
Surge Protection: 10kV
Layer: L2+ Managed</t>
  </si>
  <si>
    <t>Switch,L2Managed,PoE,8Port,2.5G,Surge</t>
  </si>
  <si>
    <t>rg-sf2920u-4gt1ms-p</t>
  </si>
  <si>
    <t>RG-SF2920U-4GT1MS-P</t>
  </si>
  <si>
    <t>Ruijie RG-SF2920U-4GT1MS-P 4 Port PoE Switch + 2.5G SFP 45W 8kV</t>
  </si>
  <si>
    <t>https://sysnetcenter.com/10416-home_default/ruijie-rg-sf2920u-4gt1ms-p-4-port-poe-switch-2g-sfp-port.webp</t>
  </si>
  <si>
    <t>4 Port GE PoE + 2.5G SFP Uplink 45W 8kV Surge VLAN Compact</t>
  </si>
  <si>
    <t>• 4 Port Gigabit PoE + SFP 2.5G Uplink Compact
• PoE Budget 45W กันฟ้าผ่า 8kV VLAN</t>
  </si>
  <si>
    <t>พอร์ต LAN: 4x Gigabit PoE
พอร์ต SFP: 1x 2.5G
PoE Budget: 45W
Surge Protection: 8kV
VLAN: รองรับ</t>
  </si>
  <si>
    <t>Switch,PoE,4Port,2.5G,Surge,Compact</t>
  </si>
  <si>
    <t>rg-s6120-20xs4vs2qxs</t>
  </si>
  <si>
    <t>RG-S6120-20XS4VS2QXS</t>
  </si>
  <si>
    <t>Ruijie RG-S6120-20XS4VS2QXS L3 Managed SFP+ Switch 24 Port + 2x QSFP+ 40G</t>
  </si>
  <si>
    <t>https://sysnetcenter.com/9752-home_default/ruijie-rg-s6120-20xs4vs2qxs-l3-managed-switch-sfp-plus-qsfp.webp</t>
  </si>
  <si>
    <t>High-Performance L3 Managed SFP+ Switch 24x SFP+ + 2x QSFP+ 40G VSU OSPF BGP</t>
  </si>
  <si>
    <t>• L3 Managed 24x SFP+ + 2x QSFP+ 40G
• VSU, Dynamic Routing OSPF/BGP</t>
  </si>
  <si>
    <t>พอร์ต SFP+: 24x 10G
พอร์ต QSFP+: 2x 40G
Layer: Full L3 Managed
VSU: รองรับ
Routing: OSPF/BGP</t>
  </si>
  <si>
    <t>Switch,L3Managed,SFP+,40G,VSU,DataCenter</t>
  </si>
  <si>
    <t>xs-s1930j-8gt2sfp</t>
  </si>
  <si>
    <t>XS-S1930J-8GT2SFP</t>
  </si>
  <si>
    <t>Ruijie XS-S1930J-8GT2SFP L2 Managed Gigabit Switch 8 Port + 2 SFP</t>
  </si>
  <si>
    <t>https://sysnetcenter.com/9019-home_default/ruijie-xs-s1930j-8gt2sfp-l2-managed-gigabit-switch-8-port-2-port-sfp.webp</t>
  </si>
  <si>
    <t>L2 Managed Gigabit Switch 8 GE + 2 SFP Cloud VLAN LACP IGMP</t>
  </si>
  <si>
    <t>• L2 Managed 8 Port Gigabit + 2 SFP
• Cloud Managed VLAN/LACP/IGMP</t>
  </si>
  <si>
    <t>พอร์ต LAN: 8x Gigabit
พอร์ต SFP: 2x
Layer: L2 Managed
จัดการ: Cloud</t>
  </si>
  <si>
    <t>Switch,L2Managed,8Port,Cloud,SFP</t>
  </si>
  <si>
    <t>rg-s1809-p</t>
  </si>
  <si>
    <t>RG-S1809-P</t>
  </si>
  <si>
    <t>Ruijie RG-S1809-P Unmanaged PoE Switch 8 Port 100Mbps + 1 Gigabit 114W</t>
  </si>
  <si>
    <t>https://sysnetcenter.com/8911-home_default/ruijie-rg-s1809-p-unmanaged-poe-switch-8-port-1-port-gigabit.webp</t>
  </si>
  <si>
    <t>Unmanaged PoE Switch 8x 100Mbps + 1 Gigabit 114W Metal CCTV</t>
  </si>
  <si>
    <t>• Unmanaged 8x 100Mbps PoE + 1 Gigabit Uplink
• PoE Budget 114W เหมาะกับ CCTV</t>
  </si>
  <si>
    <t>พอร์ต LAN: 8x 100Mbps PoE
พอร์ต Uplink: 1x Gigabit
PoE Budget: 114W
Chassis: Metal
เหมาะสำหรับ: CCTV</t>
  </si>
  <si>
    <t>Switch,Unmanaged,PoE,8Port,CCTV,Budget</t>
  </si>
  <si>
    <t>rg-s5760c-24gt8xs-x</t>
  </si>
  <si>
    <t>RG-S5760C-24GT8XS-X</t>
  </si>
  <si>
    <t>Ruijie RG-S5760C-24GT8XS-X Full L3 Managed Switch 24 Port + 8x 10G</t>
  </si>
  <si>
    <t>https://sysnetcenter.com/8901-home_default/ruijie-rg-s5760c-24gt8xs-x-l3-managed-gigabit-switch-24-port-8-port-sfp-plus.webp</t>
  </si>
  <si>
    <t>Full L3 Managed Switch 24 GE + 8x 10G SFP+ Dynamic Routing OSPF BGP</t>
  </si>
  <si>
    <t>• Full L3 Managed 24 Port Gigabit + 8x SFP+ 10G
• Dynamic Routing OSPF/BGP</t>
  </si>
  <si>
    <t>พอร์ต LAN: 24x Gigabit
พอร์ต SFP+: 8x 10G
Layer: Full L3 Managed
Routing: OSPF/BGP</t>
  </si>
  <si>
    <t>Switch,L3Managed,24Port,10G,FullRouting</t>
  </si>
  <si>
    <t>rg-s5750c-28gt4xs-h</t>
  </si>
  <si>
    <t>RG-S5750C-28GT4XS-H</t>
  </si>
  <si>
    <t>Ruijie RG-S5750C-28GT4XS-H L3 Managed Switch 24 Port + 4x 10G SFP+</t>
  </si>
  <si>
    <t>https://sysnetcenter.com/7840-home_default/ruijie-rg-s5750c-28gt4xs-h-l3-managed-gigabit-switch-24-port.webp</t>
  </si>
  <si>
    <t>L3 Managed Switch 24 GE + 4x SFP+ IPv4/IPv6 RIP/OSPF/IS-IS/BGP</t>
  </si>
  <si>
    <t>• L3 Managed 24 Port Gigabit + 4x SFP+
• IPv4/IPv6 RIP/OSPF/IS-IS/BGP</t>
  </si>
  <si>
    <t>พอร์ต LAN: 24x Gigabit
พอร์ต SFP+: 4x
Layer: L3 Managed
Routing: RIP/OSPF/IS-IS/BGP</t>
  </si>
  <si>
    <t>Switch,L3Managed,24Port,FullRouting</t>
  </si>
  <si>
    <t>rg-s2910-24gt4xs-e</t>
  </si>
  <si>
    <t>RG-S2910-24GT4XS-E</t>
  </si>
  <si>
    <t>Ruijie RG-S2910-24GT4XS-E L2 Managed Switch 24 Port + 4x 10G SFP+</t>
  </si>
  <si>
    <t>https://sysnetcenter.com/7731-home_default/ruijie-rg-s2910-24gt4xs-e-l2-managed-gigabit-switch-24-port.webp</t>
  </si>
  <si>
    <t>L2 Managed Switch 24 GE + 4x 10G SFP+ SDN OpenFlow VLAN QoS</t>
  </si>
  <si>
    <t>• L2 Managed 24 Port Gigabit + 4x SFP+ 10G
• SDN/OpenFlow, VLAN, QoS</t>
  </si>
  <si>
    <t>พอร์ต LAN: 24x Gigabit
พอร์ต SFP+: 4x 10G
Layer: L2 Managed
SDN/OpenFlow: รองรับ</t>
  </si>
  <si>
    <t>Switch,L2Managed,24Port,10G,SDN</t>
  </si>
  <si>
    <t>rg-es126g-p-l</t>
  </si>
  <si>
    <t>RG-ES126G-P-L</t>
  </si>
  <si>
    <t>Ruijie RG-ES126G-P-L Unmanaged PoE Switch 24 Port 370W + 2 SFP (EOL)</t>
  </si>
  <si>
    <t>https://sysnetcenter.com/7713-home_default/ruijie-rg-es126g-p-l-unmanaged-gigabit-poe-switch-24-port-370w.webp</t>
  </si>
  <si>
    <t>Unmanaged PoE Switch 24 GE + 2 SFP 370W 802.3af/at (EOL)</t>
  </si>
  <si>
    <t>• Unmanaged 24 Port Gigabit PoE + 2 SFP
• PoE Budget 370W (EOL)</t>
  </si>
  <si>
    <t>พอร์ต LAN: 24x Gigabit PoE
พอร์ต SFP: 2x
PoE Budget: 370W
Standard: 802.3af/at
Status: EOL</t>
  </si>
  <si>
    <t>Switch,Unmanaged,PoE,24Port,EOL</t>
  </si>
  <si>
    <t>rg-s2928g-e-v3</t>
  </si>
  <si>
    <t>RG-S2928G-E V3</t>
  </si>
  <si>
    <t>Ruijie RG-S2928G-E V3 L3 Managed Switch 24 Port + 4 SFP</t>
  </si>
  <si>
    <t>https://sysnetcenter.com/7702-home_default/ruijie-rg-s2928g-e-v3-l3-managed-gigabit-switch-24-port.webp</t>
  </si>
  <si>
    <t>L3 Managed Switch 24 GE + 4 SFP Static/Dynamic Routing VSU VRRP QoS</t>
  </si>
  <si>
    <t>• L3 Managed 24 Port Gigabit + 4 SFP
• Static/Dynamic Routing VSU VRRP QoS</t>
  </si>
  <si>
    <t>พอร์ต LAN: 24x Gigabit
พอร์ต SFP: 4x
Layer: L3 Managed
VSU/VRRP: รองรับ
Routing: Static/Dynamic</t>
  </si>
  <si>
    <t>Switch,L3Managed,24Port,SFP,VSU</t>
  </si>
  <si>
    <t>rg-s5310-48gt4xs-p-e</t>
  </si>
  <si>
    <t>RG-S5310-48GT4XS-P-E</t>
  </si>
  <si>
    <t>Ruijie RG-S5310-48GT4XS-P-E L3 Managed PoE Switch 48 Port + 4x 10G VSU</t>
  </si>
  <si>
    <t>https://sysnetcenter.com/8954-home_default/ruijie-rg-s5310-48gt4xs-p-e-l3-managed-poe-switch-48-port.webp</t>
  </si>
  <si>
    <t>L3 Managed PoE Switch 48 GE + 4x 10G SFP+ VSU Full Routing</t>
  </si>
  <si>
    <t>• L3 Managed 48 Port Gigabit PoE + 4x SFP+ 10G
• VSU, RIP/OSPF/IS-IS/BGP</t>
  </si>
  <si>
    <t>พอร์ต LAN: 48x Gigabit PoE
พอร์ต SFP+: 4x 10G
Layer: L3 Managed
VSU: รองรับ
Routing: RIP/OSPF/IS-IS/BGP</t>
  </si>
  <si>
    <t>Switch,L3Managed,PoE,48Port,10G,VSU</t>
  </si>
  <si>
    <t>rg-s5310-24gt4xs-p-e</t>
  </si>
  <si>
    <t>RG-S5310-24GT4XS-P-E</t>
  </si>
  <si>
    <t>Ruijie RG-S5310-24GT4XS-P-E L3 Managed PoE Switch 24 Port + 4x 10G VSU</t>
  </si>
  <si>
    <t>https://sysnetcenter.com/8951-home_default/ruijie-rg-s5310-24gt4xs-p-e-l3-managed-poe-switch-24-port.webp</t>
  </si>
  <si>
    <t>L3 Managed PoE Switch 24 GE + 4x 10G SFP+ VSU Dynamic Routing</t>
  </si>
  <si>
    <t>• L3 Managed 24 Port Gigabit PoE + 4x SFP+ 10G
• VSU Dynamic Routing</t>
  </si>
  <si>
    <t>พอร์ต LAN: 24x Gigabit PoE
พอร์ต SFP+: 4x 10G
Layer: L3 Managed
VSU: รองรับ
Routing: Dynamic</t>
  </si>
  <si>
    <t>Switch,L3Managed,PoE,24Port,10G,VSU</t>
  </si>
  <si>
    <t>rg-e-130ge</t>
  </si>
  <si>
    <t>RG-E-130(GE)</t>
  </si>
  <si>
    <t>Ruijie RG-E-130(GE) PoE Injector 802.3at 30W Gigabit</t>
  </si>
  <si>
    <t>https://sysnetcenter.com/7671-home_default/ruijie-rg-e-130ge-poe-injector-at-poe-53v-30w-gigabit.webp</t>
  </si>
  <si>
    <t>PoE Injector 802.3at/af Gigabit 53VDC 30W Output</t>
  </si>
  <si>
    <t>• PoE Injector มาตรฐาน 802.3at/af
• Gigabit Port, 53VDC 30W Output</t>
  </si>
  <si>
    <t>มาตรฐาน: 802.3at/af
Output: 53VDC 30W
พอร์ต: Gigabit
Type: PoE Injector</t>
  </si>
  <si>
    <t>PoEInjector,Accessory,Gigabit</t>
  </si>
  <si>
    <t>In Stock</t>
  </si>
  <si>
    <t>rg-ws6012-l</t>
  </si>
  <si>
    <t>RG-WS6012-L</t>
  </si>
  <si>
    <t>RG-WS6012-L Ruijie High-Performance 10 Gbps Wireless Access Controller</t>
  </si>
  <si>
    <t>Wireless Controller</t>
  </si>
  <si>
    <t>https://sysnetcenter.com/14225-large_default/rg-ws6012-l-ruijie-high-performance-10-gbps-wireless-access-controller.webp</t>
  </si>
  <si>
    <t>https://sysnetcenter.com/14226-large_default/rg-ws6012-l-ruijie-high-performance-10-gbps-wireless-access-controller.webp</t>
  </si>
  <si>
    <t>https://sysnetcenter.com/14227-large_default/rg-ws6012-l-ruijie-high-performance-10-gbps-wireless-access-controller.webp</t>
  </si>
  <si>
    <t>Ruijie Wireless Access Controller 10 Gbps รองรับ AP สูงสุด 896 ตัว Client 4480 Station</t>
  </si>
  <si>
    <t>• Wireless Access Controller ประสิทธิภาพสูง 10 Gbps
• รองรับ AP เริ่มต้น 32 ตัว ขยายสูงสุดถึง 896 ตัว (ต้องซื้อ License เพิ่ม)
• รองรับ Client สูงสุด 4480 Station
• CAPWAP Layer 2/3 รองรับทั้ง Centralized และ Local Forwarding
• Multi-AC Failover และ Clustering
• รักษาความปลอดภัยด้วย PSK, WPA2, CCMP
• รับประกันศูนย์ไทย 3 ปี</t>
  </si>
  <si>
    <t>Interfaces: 8x 1GE RJ45 + 2x 1GE SFP/RJ45 Combo + 2x 10GE SFP+
AP เริ่มต้น: 32 APs
AP สูงสุด: 896 APs (พร้อม License)
Client สูงสุด: 4480
Performance: 10 Gbps
Memory: 4 GB RAM / 16 MB Flash
Dimensions: 440 x 200 x 43.6 mm (1RU)
Weight: 2.7 kg
Power: 30W / 100-240V AC
Operating Temp: 0 to 45 C
MTBF: 200000 hours
Warranty: 3 ปี</t>
  </si>
  <si>
    <t>Controller,10Gbps,Enterprise,Wireless</t>
  </si>
  <si>
    <t>rg-ws6108</t>
  </si>
  <si>
    <t>RG-WS6108</t>
  </si>
  <si>
    <t>Ruijie RG-WS6108 Next-Gen Wireless Controller รองรับ AP สูงสุด 640</t>
  </si>
  <si>
    <t>https://sysnetcenter.com/7700-large_default/ruijie-rg-rg-ws6108-next-gen-wireless-controller-ap.webp</t>
  </si>
  <si>
    <t>https://sysnetcenter.com/7701-large_default/ruijie-rg-rg-ws6108-next-gen-wireless-controller-ap.webp</t>
  </si>
  <si>
    <t>Ruijie Wireless Controller รองรับ AP สูงสุด 640 Client 10000 Performance 8 Gbps</t>
  </si>
  <si>
    <t>• Wireless Controller รุ่น Next-Gen รองรับ 802.11 a/b/g/n/ac
• รองรับ AP เริ่มต้น 32 ตัว ขยายสูงสุด 320/640 Wall AP (ต้องซื้อ License เพิ่ม)
• รองรับ Client สูงสุด 10000
• 8x Gigabit Copper + 2x Gigabit Fiber Combo Port
• Multi-AC Redundancy และ Clustering
• Authentication: 802.1x, Web, PEAP, SMS, QR Code
• รับประกันศูนย์ไทย 3 ปี</t>
  </si>
  <si>
    <t>Interfaces: 8x 1GE Copper + 2x 1GE SFP Combo
AP เริ่มต้น: 32 APs
AP สูงสุด: 320 APs / 640 Wall APs (พร้อม License)
AP Configure สูงสุด: 2048
Client สูงสุด: 10000
Performance: 8 Gbps
VLAN: 4K
MAC Table: 16K
ACL: 64K Rules
Inter-AC Roaming: 50ms
Power: 40W / 100-240V AC
Dimensions: 440 x 200 x 43.6 mm (1RU)
Weight: 2 kg
Warranty: 3 ปี</t>
  </si>
  <si>
    <t>Controller,8Gbps,Enterprise,Wireless</t>
  </si>
  <si>
    <t>rg-ws6008</t>
  </si>
  <si>
    <t>RG-WS6008</t>
  </si>
  <si>
    <t>Ruijie RG-WS6008 Next-Gen Wireless Controller รองรับ AP สูงสุด 448</t>
  </si>
  <si>
    <t>https://sysnetcenter.com/7681-large_default/ruijie-rg-ws6008-next-gen-wireless-controller.webp</t>
  </si>
  <si>
    <t>https://sysnetcenter.com/7680-large_default/ruijie-rg-ws6008-next-gen-wireless-controller.webp</t>
  </si>
  <si>
    <t>https://sysnetcenter.com/7682-large_default/ruijie-rg-ws6008-next-gen-wireless-controller.webp</t>
  </si>
  <si>
    <t>Ruijie Wireless Controller รองรับ AP สูงสุด 448 Client 6400 Performance 8 Gbps</t>
  </si>
  <si>
    <t>• Wireless Controller รุ่น Next-Gen รองรับ 802.11 a/b/g/n/ac
• รองรับ AP เริ่มต้น 32 ตัว ขยายสูงสุด 224/448 Wall AP (ต้องซื้อ License เพิ่ม)
• รองรับ Client สูงสุด 6400
• 6x 1GE Port + 2x SFP Combo + 1x Console + 2x USB
• Multi-AC Redundancy
• Authentication: Web, 802.1X, WPA/WPA2, WAPI
• IPv4/IPv6 Dual Stack Support
• รับประกันศูนย์ไทย 3 ปี</t>
  </si>
  <si>
    <t>Interfaces: 6x 1000BASE-T + 2x 1000BASE-T/SFP Combo + 1x Console + 2x USB
AP เริ่มต้น: 32 APs
AP สูงสุด: 224 APs / 448 Wall APs (พร้อม License)
AP Configure สูงสุด: 2048
Client สูงสุด: 6400
Portal Clients: 1500
Performance: 8 Gbps
VLAN: 4094
MAC Table: 16K
ACL: 64K
Inter-AC Roaming: 50ms
Power: 40W / 100-240V AC
Dimensions: 440 x 200 x 43.6 mm (1RU)
Weight: 2 kg
Warranty: 3 ปี</t>
  </si>
  <si>
    <t>rg-rap72-wall</t>
  </si>
  <si>
    <t>RG-RAP72-Wall</t>
  </si>
  <si>
    <t>RG-RAP72-Wall Ruijie BE3600 Dual-Band Wi-Fi 7 Wall Plate Access Point</t>
  </si>
  <si>
    <t>Reyee Network</t>
  </si>
  <si>
    <t>https://eo-sgp-cos.ruijie.com/background/other/2024-10-30/e290b76adaf74107904b16a0ad0e28dc.png</t>
  </si>
  <si>
    <t>https://eo-sgp-cos.ruijie.com/background/other/2024-10-30/bff8a6c9d5d24c7f842995b5a20b3cbb.png</t>
  </si>
  <si>
    <t>https://eo-sgp-cos.ruijie.com/background/other/2024-10-30/8f57c754c7f4490282b39cef2328e8d0.png</t>
  </si>
  <si>
    <t>Reyee Wi-Fi 7 BE3600 Wall Plate AP 2.5G Port PoE Out รองรับ 20 Devices</t>
  </si>
  <si>
    <t>• Wi-Fi 7 (802.11be) BE3600 (3.6Gbps)
• 2.5G Uplink Port + PoE Output สำหรับ IP Phone
• บาง 24mm ติดตั้งง่ายในห้องพัก
• Cloud Managed / Standalone / Hardware Control
• รับประกันศูนย์ไทย 3 ปี</t>
  </si>
  <si>
    <t>Wi-Fi Standard: WiFi 7 (802.11be)
Max Speed: BE3600 (3.6Gbps)
MIMO: 2x2 MU-MIMO
Recommended Users: 20
Coverage: 100 sqm
LAN Ports: 4x 1G + 1x 2.5G
PoE Output: 1 Port 10W
Power: PoE 802.3af/at (15W)
Dimensions: 86x24x124 mm
Warranty: 3 ปี</t>
  </si>
  <si>
    <t>WiFi7,WallPlate,2.5G,PoEOut</t>
  </si>
  <si>
    <t>rg-rap62-wall</t>
  </si>
  <si>
    <t>RG-RAP62-Wall</t>
  </si>
  <si>
    <t>RG-RAP62-Wall Reyee Wi-Fi 6 AX3000 Multi-Port Wall Plate Access Point</t>
  </si>
  <si>
    <t>https://eo-sgp-cos.ruijie.com/background/other/2025-07-17/Frame%204-20250717-163241.png</t>
  </si>
  <si>
    <t>https://eo-sgp-cos.ruijie.com/background/other/2025-07-17/Frame%2010-20250717-163240.png</t>
  </si>
  <si>
    <t>https://eo-sgp-cos.ruijie.com/background/other/2025-07-17/Frame%2014-20250717-163240.png</t>
  </si>
  <si>
    <t>Reyee Wi-Fi 6 AX3000 Wall Plate AP 4x Gigabit LAN PoE Out Cloud Managed</t>
  </si>
  <si>
    <t>• Wi-Fi 6 AX3000 ความเร็วสูงสุด (574+2974 Mbps)
• 4x Gigabit LAN + 1x Uplink พร้อม PoE Out บน LAN4
• บาง 23.5mm Junction Box มาตรฐาน 86mm
• 2x2 MU-MIMO / OFDMA / Beamforming
• รับประกันศูนย์ไทย 3 ปี</t>
  </si>
  <si>
    <t>Wi-Fi Standard: WiFi 6 (802.11ax)
Max Speed: AX3000 (574+2974 Mbps)
MIMO: 2x2 MU-MIMO
Recommended Users: 20
Coverage: 100 sqm
LAN Ports: 4x 1G + 1x Uplink
IP Rating: IP41
Power: PoE 802.3af/at (12W)
Dimensions: 86x23.5x125 mm
Warranty: 3 ปี</t>
  </si>
  <si>
    <t>WiFi6,AX3000,WallPlate,PoEOut,4Port</t>
  </si>
  <si>
    <t>rg-rap62-wall-lite</t>
  </si>
  <si>
    <t>RG-RAP62-Wall-Lite</t>
  </si>
  <si>
    <t>RG-RAP62-Wall-Lite Reyee Wi-Fi 6 AX3000 Dual-Band Wall Plate Access Point</t>
  </si>
  <si>
    <t>https://eo-sgp-cos.ruijie.com/background/other/2025-07-17/Frame%205-20250717-171128.png</t>
  </si>
  <si>
    <t>https://eo-sgp-cos.ruijie.com/background/other/2025-07-17/Frame%2013-20250717-171128.png</t>
  </si>
  <si>
    <t>https://eo-sgp-cos.ruijie.com/background/other/2025-07-17/Frame%2012-20250717-171128.png</t>
  </si>
  <si>
    <t>Reyee Wi-Fi 6 AX3000 Wall Plate AP Slim 24.8mm 2x Gigabit Port PoE+</t>
  </si>
  <si>
    <t>• Wi-Fi 6 AX3000 (574+2401 Mbps)
• บาง 24.8mm Junction Box 86mm
• 2x Gigabit Port (Uplink+Downlink)
• PoE+ 802.3at / OFDMA / Beamforming
• รับประกันศูนย์ไทย 3 ปี</t>
  </si>
  <si>
    <t>Wi-Fi Standard: WiFi 6 (802.11ax)
Max Speed: AX3000 (574+2401 Mbps)
MIMO: 2x2 MU-MIMO
Recommended Users: 20
Coverage: 100 sqm
LAN Ports: 1x Uplink + 1x Downlink
IP Rating: IP41
Power: PoE 802.3at (11.2W)
Dimensions: 86x38x86 mm
Warranty: 3 ปี</t>
  </si>
  <si>
    <t>WiFi6,AX3000,WallPlate,PoE</t>
  </si>
  <si>
    <t>rg-rap72</t>
  </si>
  <si>
    <t>RG-RAP72</t>
  </si>
  <si>
    <t>RG-RAP72 Reyee Wi-Fi 7 BE3570 Ceiling-Mount Dual-Band Access Point</t>
  </si>
  <si>
    <t>https://eo-sgp-cos.ruijie.com/background/other/2025-04-18/Frame%201-20250418-153413.png</t>
  </si>
  <si>
    <t>https://eo-sgp-cos.ruijie.com/background/other/2025-04-18/Frame%205-20250418-153413.png</t>
  </si>
  <si>
    <t>https://eo-sgp-cos.ruijie.com/background/other/2025-04-18/Frame%206-20250418-153413.png</t>
  </si>
  <si>
    <t>Reyee Wi-Fi 7 BE3570 Ceiling AP 2.5G Port รองรับ 100 Devices 140 ตร.ม.</t>
  </si>
  <si>
    <t>• Wi-Fi 7 (802.11be) BE3570 (3.57Gbps)
• 2x2 MU-MIMO Dual-Band 2.4/5GHz
• 1x 2.5G Ethernet Port
• รองรับ Reyee Mesh / 802.11K/V Roaming
• PoE 802.3at/af Powered
• รับประกันศูนย์ไทย 3 ปี</t>
  </si>
  <si>
    <t>Wi-Fi Standard: WiFi 7 (802.11be)
Max Speed: BE3570 (3.57Gbps)
MIMO: 2x2 MU-MIMO
Max Clients: 511 (100 recommended)
Coverage: 140 sqm
LAN Port: 1x 2.5G
Power: PoE 802.3at/af (14W)
Dimensions: 195mm x 41mm
Warranty: 3 ปี</t>
  </si>
  <si>
    <t>WiFi7,BE3570,Ceiling,2.5G</t>
  </si>
  <si>
    <t>rg-rap72pro-od</t>
  </si>
  <si>
    <t>RG-RAP72Pro-OD</t>
  </si>
  <si>
    <t>RG-RAP72Pro-OD Reyee BE5040 Wi-Fi 7 Indoor/Outdoor Access Point IP65</t>
  </si>
  <si>
    <t>https://eo-sgp-cos.ruijie.com/background/other/2024-11-14/Frame%203-20241114-141614.png</t>
  </si>
  <si>
    <t>https://eo-sgp-cos.ruijie.com/background/other/2024-11-14/Frame%205-20241114-141619.png</t>
  </si>
  <si>
    <t>https://eo-sgp-cos.ruijie.com/background/other/2024-11-14/Frame%208-20241114-141619.png</t>
  </si>
  <si>
    <t>Reyee Wi-Fi 7 BE5040 Outdoor AP IP65 3x3 MIMO 2.5G Port รองรับ 50 Devices</t>
  </si>
  <si>
    <t>• Wi-Fi 7 BE5040 (5Gbps) / 3x3 MU-MIMO
• IP65 กันน้ำ กันฝุ่น
• 1x 2.5G Ethernet + PoE+ 802.3at
• Reyee Mesh / AI Roaming
• รับประกันศูนย์ไทย 3 ปี</t>
  </si>
  <si>
    <t>Wi-Fi Standard: WiFi 7 (802.11be)
Max Speed: BE5040 (5.0Gbps)
MIMO: 3x3 MU-MIMO
Recommended Users: 50
Coverage: 200 sqm
LAN Port: 1x 2.5G
Installation: IP65 Outdoor
Power: PoE+ 802.3at (21W)
Dimensions: 90x46x239 mm
Operating Temp: -30 to +65 C
Warranty: 3 ปี</t>
  </si>
  <si>
    <t>WiFi7,BE5040,Outdoor,IP65,2.5G</t>
  </si>
  <si>
    <t>rg-rap6260h-d</t>
  </si>
  <si>
    <t>RG-RAP6260(H)-D</t>
  </si>
  <si>
    <t>RG-RAP6260(H)-D Reyee AX6000 Wi-Fi 6 Outdoor Directional Access Point</t>
  </si>
  <si>
    <t>https://eo-sgp-cos.ruijie.com/background/other/2023-06-04/1dfa8db01b2e4925ac2fb601f70240ba.png</t>
  </si>
  <si>
    <t>https://eo-sgp-cos.ruijie.com/background/other/2023-06-04/d22c73b728fa44c7b82e3af1b051956d.png</t>
  </si>
  <si>
    <t>https://eo-sgp-cos.ruijie.com/background/other/2023-06-04/75db0ecdd0984524a8e1a4b7104df0f8.png</t>
  </si>
  <si>
    <t>Reyee Wi-Fi 6 AX6000 Outdoor Directional AP IP68 4x4 MIMO 2.5G+SFP รองรับ 512 Clients</t>
  </si>
  <si>
    <t>• Wi-Fi 6 AX5950 (5.95Gbps) Outdoor Directional
• 4x4 MU-MIMO IP68 / PoE++ 802.3bt
• 2.5G + SFP Port / ทิศ 5GHz V:30 H:60
• ระยะ 5GHz สูงสุด 300m
• รับประกันศูนย์ไทย 3 ปี</t>
  </si>
  <si>
    <t>Wi-Fi Standard: WiFi 6 (802.11ax)
Max Speed: AX5950 (5.95Gbps)
MIMO: 4x4 MU-MIMO
Max Clients: 512 (130 recommended)
LAN Port: 1x 2.5G + 1x SFP
Antenna: 8 Directional (2.4G:10dBi / 5G:9dBi)
IP Rating: IP68
Power: PoE++ 802.3bt (40W)
Dimensions: 298x298x65 mm
Warranty: 3 ปี</t>
  </si>
  <si>
    <t>WiFi6,AX6000,Outdoor,Directional,IP68,4x4MIMO</t>
  </si>
  <si>
    <t>rg-rap62</t>
  </si>
  <si>
    <t>RG-RAP62</t>
  </si>
  <si>
    <t>RG-RAP62 Reyee Wi-Fi 6 AX1800 Ceiling-Mount Access Point</t>
  </si>
  <si>
    <t>https://eo-sgp-cos.ruijie.com/background/other/2025-02-26/Frame%201-20250226-104455.png</t>
  </si>
  <si>
    <t>https://eo-sgp-cos.ruijie.com/background/other/2025-02-26/Frame%203-20250226-104455.png</t>
  </si>
  <si>
    <t>https://eo-sgp-cos.ruijie.com/background/other/2025-02-26/Frame%2011-20250226-104457.png</t>
  </si>
  <si>
    <t>Reyee Wi-Fi 6 AX1800 Ceiling AP 1x Gigabit Port รองรับ 100 Devices 125 ตร.ม.</t>
  </si>
  <si>
    <t>• Wi-Fi 6 AX1800 (574+1774 Mbps)
• 2x2 MU-MIMO / Reyee Mesh / 802.11K/V
• 1x Gigabit Port / PoE 802.3af
• Cloud Managed ผ่าน Ruijie Cloud
• รับประกันศูนย์ไทย 3 ปี</t>
  </si>
  <si>
    <t>Wi-Fi Standard: WiFi 6 (802.11ax)
Max Speed: AX1800 (574+1774 Mbps)
MIMO: 2x2 MU-MIMO
Max Clients: 256 (100 recommended)
Coverage: 125 sqm
LAN Port: 1x Gigabit
Power: PoE 802.3af / 12VDC
Dimensions: 175mm x 39mm
Warranty: 3 ปี</t>
  </si>
  <si>
    <t>WiFi6,AX1800,Ceiling,PoE</t>
  </si>
  <si>
    <t>rg-rap73pro</t>
  </si>
  <si>
    <t>RG-RAP73Pro</t>
  </si>
  <si>
    <t>RG-RAP73Pro Reyee Wi-Fi 7 BE14000 Tri-Band Ceiling Access Point</t>
  </si>
  <si>
    <t>https://eo-sgp-cos.ruijie.com/background/other/2024-08-23/de4370ee40fb4170b98002beb425c96e.png</t>
  </si>
  <si>
    <t>https://eo-sgp-cos.ruijie.com/background/other/2024-08-23/0bd671ade89e4a5e9d6ad57eb109c9b3.png</t>
  </si>
  <si>
    <t>https://eo-sgp-cos.ruijie.com/background/other/2024-08-23/2bc4cf75f4224ea2a58f5d5364b4dde7.png</t>
  </si>
  <si>
    <t>Reyee Wi-Fi 7 BE14000 Tri-Band AP 2.4/5/6GHz 2.5G+SFP+ รองรับ 200 Devices</t>
  </si>
  <si>
    <t>• Wi-Fi 7 BE14000 Tri-Band 2.4/5/6GHz 3x3 MIMO
• 2.5G + 10G SFP+ Port / MLO Multi-Link Operation
• รองรับ 600 Clients (แนะนำ 200)
• PoE+ 802.3at Powered
• รับประกันศูนย์ไทย 3 ปี</t>
  </si>
  <si>
    <t>Wi-Fi Standard: WiFi 7 (802.11be)
Max Speed: BE14000 (14Gbps)
Bands: Tri-Band 2.4/5/6GHz
MIMO: 3x3 (all bands)
Max Clients: 600 (200 recommended)
Coverage: 100 sqm
LAN Port: 1x 2.5G + 1x 10G SFP+
Power: PoE+ 802.3at (30W)
Dimensions: 220x220x45 mm
Warranty: 3 ปี</t>
  </si>
  <si>
    <t>WiFi7,BE14000,TriBand,6GHz,SFP</t>
  </si>
  <si>
    <t>rg-rap72pro</t>
  </si>
  <si>
    <t>RG-RAP72Pro</t>
  </si>
  <si>
    <t>RG-RAP72Pro Reyee Wi-Fi 7 BE5040 Dual-Band Ceiling Access Point</t>
  </si>
  <si>
    <t>https://eo-sgp-cos.ruijie.com/background/other/2024-08-05/ee811436ed1b4ba7abcc31970a65d323.png</t>
  </si>
  <si>
    <t>https://eo-sgp-cos.ruijie.com/background/other/2024-08-05/b2ca23444d9e4cda9c302a875375d425.png</t>
  </si>
  <si>
    <t>https://eo-sgp-cos.ruijie.com/background/other/2024-08-05/9aacf247f41f448b8aa5a32f33475950.png</t>
  </si>
  <si>
    <t>Reyee Wi-Fi 7 BE5040 Ceiling AP 3x3 MIMO 2.5G Port รองรับ 512 Clients</t>
  </si>
  <si>
    <t>• Wi-Fi 7 BE5040 (5011Mbps) 3x3 MIMO
• 2.5G + 1G Port / PoE+ 802.3at
• IP41 / รองรับ 512 Clients
• Cloud Managed ผ่าน Ruijie Cloud
• รับประกันศูนย์ไทย 3 ปี</t>
  </si>
  <si>
    <t>Wi-Fi Standard: WiFi 7 (802.11be)
Max Speed: BE5040 (5011Mbps)
MIMO: 2.4G:2x2 / 5G:3x3
Max Clients: 512
Coverage: 100 sqm
LAN Port: 1x 2.5G + 1x 1G
Power: PoE+ 802.3at (30W)
Dimensions: 208x208x40 mm
IP Rating: IP41
Warranty: 3 ปี</t>
  </si>
  <si>
    <t>WiFi7,BE5040,Ceiling,2.5G,3x3MIMO</t>
  </si>
  <si>
    <t>rg-rap62-od</t>
  </si>
  <si>
    <t>RG-RAP62-OD</t>
  </si>
  <si>
    <t>RG-RAP62-OD Reyee AX3000 Wi-Fi 6 Indoor/Outdoor Access Point IP65</t>
  </si>
  <si>
    <t>https://eo-sgp-cos.ruijie.com/background/other/2024-06-14/2e0cbd7b0d3f4199bb095fbe75532f1b.png</t>
  </si>
  <si>
    <t>https://eo-sgp-cos.ruijie.com/background/other/2024-06-14/cd33d5e9641941d7838838a641ea0769.png</t>
  </si>
  <si>
    <t>https://eo-sgp-cos.ruijie.com/background/other/2024-06-14/3a86591126ce4c4b9aa4b8222007fbb3.png</t>
  </si>
  <si>
    <t>Reyee Wi-Fi 6 AX3000 Outdoor AP IP65 2x2 MIMO 1G Port รองรับ 20 Devices 200 ตร.ม.</t>
  </si>
  <si>
    <t>• Wi-Fi 6 AX2974 (2.97Gbps) IP65
• 2x2 MIMO / Reyee Mesh / Standalone Portal
• 1x Gigabit Port / PoE+ 802.3at
• ในร่มและกลางแจ้ง
• รับประกันศูนย์ไทย 3 ปี</t>
  </si>
  <si>
    <t>Wi-Fi Standard: WiFi 6 (802.11ax)
Max Speed: AX3000 (2.97Gbps)
MIMO: 2x2
Recommended Users: 20
Coverage: 200 sqm
LAN Port: 1x Gigabit
Installation: Indoor/Outdoor IP65
Power: PoE+ 802.3at
Dimensions: 200x70x35 mm
Operating Temp: -30 to +65 C
Warranty: 3 ปี</t>
  </si>
  <si>
    <t>WiFi6,AX3000,Outdoor,IP65</t>
  </si>
  <si>
    <t>rg-rap2200f</t>
  </si>
  <si>
    <t>RG-RAP2200(F)</t>
  </si>
  <si>
    <t>RG-RAP2200(F) Reyee Wireless Access Point ac Wave 2 AC1300 Dual-Band</t>
  </si>
  <si>
    <t>https://eo-sgp-cos.ruijie.com/background/other/2023-11-16/5b3f4e7d743f4249be35324f3e3639fd.png</t>
  </si>
  <si>
    <t>https://eo-sgp-cos.ruijie.com/background/other/2023-11-16/3dd7b98d8f0c466fbf9c4f1438bc3383.png</t>
  </si>
  <si>
    <t>https://eo-sgp-cos.ruijie.com/background/other/2023-11-16/d4286728ed5e462f8ec4a82992b46fba.png</t>
  </si>
  <si>
    <t>Reyee Wi-Fi 5 AC1300 Ceiling/Wall AP 2x 100Mbps Port PoE 802.3af รองรับ 40 Devices</t>
  </si>
  <si>
    <t>• Wi-Fi 5 AC1300 (400+867 Mbps) Wave 2
• 2x 100Mbps LAN Port / PoE 802.3af
• L2/L3 Roaming / One-Click Optimization
• Cloud Managed ผ่าน Ruijie Cloud
• รับประกันศูนย์ไทย 3 ปี</t>
  </si>
  <si>
    <t>Wi-Fi Standard: WiFi 5 (802.11ac) Wave 2
Max Speed: AC1300 (400+867 Mbps)
MIMO: 2x2
Recommended Users: 40
Max Clients: 110
LAN Port: 2x 100Mbps
Power: 12VDC / PoE 802.3af (12.95W)
Dimensions: 194x194x35 mm
Warranty: 3 ปี</t>
  </si>
  <si>
    <t>WiFi5,AC1300,Ceiling,WallMount,PoE</t>
  </si>
  <si>
    <t>rg-rap2200e</t>
  </si>
  <si>
    <t>RG-RAP2200(E)</t>
  </si>
  <si>
    <t>RG-RAP2200(E) Reyee Wireless Access Point ac Wave 2 Gigabit Port</t>
  </si>
  <si>
    <t>https://eo-sgp-cos.ruijie.com/background/other/2023-11-16/0a77844a39e5455394b8a6a828c16bca.png</t>
  </si>
  <si>
    <t>https://eo-sgp-cos.ruijie.com/background/other/2023-11-16/fdb101519460445dafd285551c381d29.png</t>
  </si>
  <si>
    <t>https://eo-sgp-cos.ruijie.com/background/other/2023-11-16/134a5b249e8346a9be14b4aaa434b03e.png</t>
  </si>
  <si>
    <t>Reyee Wi-Fi 5 AC1300 Ceiling/Wall AP 2x Gigabit Port PoE 802.3af รองรับ 40 Devices</t>
  </si>
  <si>
    <t>• Wi-Fi 5 AC1300 (400+867 Mbps) Wave 2
• 2x Gigabit Port / PoE 802.3af บน LAN1
• L2/L3 Roaming / ตั้งค่าใน 3 นาที
• Cloud Managed ผ่าน Ruijie Cloud
• รับประกันศูนย์ไทย 3 ปี</t>
  </si>
  <si>
    <t>Wi-Fi Standard: WiFi 5 (802.11ac) Wave 2
Max Speed: AC1300 (400+867 Mbps)
MIMO: 2x2
Recommended Users: 40
Max Clients: 110
Coverage: 100 sqm
LAN Port: 2x Gigabit
Power: 12VDC / PoE 802.3af (12.95W)
Dimensions: 194x194x35 mm
Warranty: 3 ปี</t>
  </si>
  <si>
    <t>WiFi5,AC1300,Ceiling,Gigabit,PoE</t>
  </si>
  <si>
    <t>rg-rap2260g</t>
  </si>
  <si>
    <t>RG-RAP2260(G)</t>
  </si>
  <si>
    <t>RG-RAP2260(G) Reyee Wi-Fi 6 AX1800 Ceiling Access Point Gigabit</t>
  </si>
  <si>
    <t>https://eo-sgp-cos.ruijie.com/FU/Upload/Product/2022/5-18/202251826473299.jpg</t>
  </si>
  <si>
    <t>https://eo-sgp-cos.ruijie.com/FU/Upload/Product/2022/5-18/202251826333312.jpg</t>
  </si>
  <si>
    <t>https://eo-sgp-cos.ruijie.com/FU/Upload/Product/2022/5-18/20225182686464.jpg</t>
  </si>
  <si>
    <t>Reyee Wi-Fi 6 AX1800 Ceiling AP 2x Gigabit Port PoE+ Cloud Managed รองรับ 512 Clients</t>
  </si>
  <si>
    <t>• Wi-Fi 6 AX1800 (574+1201 Mbps)
• 2x Gigabit Port / PoE+ 802.3at
• L2/L3 Roaming / 512 Clients
• Cloud Managed ผ่าน Ruijie Cloud
• รับประกันศูนย์ไทย 3 ปี</t>
  </si>
  <si>
    <t>Wi-Fi Standard: WiFi 6 (802.11ax)
Max Speed: AX1800 (574+1201 Mbps)
MIMO: 2x2
Max Clients: 512
Coverage: 100 sqm
LAN Port: 2x Gigabit
Power: 12VDC / PoE+ 802.3at (15.3W)
Dimensions: 194x194x35 mm
Warranty: 3 ปี</t>
  </si>
  <si>
    <t>WiFi6,AX1800,Ceiling,Gigabit,PoE</t>
  </si>
  <si>
    <t>rg-rap2260</t>
  </si>
  <si>
    <t>RG-RAP2260</t>
  </si>
  <si>
    <t>RG-RAP2260 Reyee Wi-Fi 6 AX3000 Multi-G Ceiling Access Point 2.5G</t>
  </si>
  <si>
    <t>https://eo-sgp-cos.ruijie.com/background/other/2024-03-21/1008c01040e5458eb5e77be2090ec39b.png</t>
  </si>
  <si>
    <t>https://eo-sgp-cos.ruijie.com/background/other/2024-03-21/f6ad9b8876bc400ca1dcfd2a94bf6bb7.png</t>
  </si>
  <si>
    <t>https://eo-sgp-cos.ruijie.com/background/other/2024-03-21/894e96fc0ba6442f92049268e076177a.png</t>
  </si>
  <si>
    <t>Reyee Wi-Fi 6 AX3000 Ceiling AP 2.5G+1G Port Reyee Mesh รองรับ 512 Clients</t>
  </si>
  <si>
    <t>• Wi-Fi 6 AX3000 (2.97Gbps) 2x2 MIMO
• 2.5G + 1G Port / Reyee Mesh
• Standalone Captive Portal / Cloud Managed
• รับประกันศูนย์ไทย 3 ปี</t>
  </si>
  <si>
    <t>Wi-Fi Standard: WiFi 6 (802.11ax)
Max Speed: AX3000 (3.0Gbps)
MIMO: 2x2 MU-MIMO
Max Clients: 512
Coverage: 100 sqm
LAN Port: 1x 2.5G + 1x Gigabit
Power: PoE+ 802.3at / 12VDC
Dimensions: 194x194x45.1 mm
Warranty: 3 ปี</t>
  </si>
  <si>
    <t>WiFi6,AX3000,Ceiling,2.5G,Mesh</t>
  </si>
  <si>
    <t>rg-rap2260e</t>
  </si>
  <si>
    <t>RG-RAP2260(E)</t>
  </si>
  <si>
    <t>RG-RAP2260(E) Reyee AX3202 Wi-Fi 6 Ceiling AP 4x4 MIMO 2.5G</t>
  </si>
  <si>
    <t>https://eo-sgp-cos.ruijie.com/FU/Upload/Product/2022/5-18/202251829348562.jpg</t>
  </si>
  <si>
    <t>https://eo-sgp-cos.ruijie.com/FU/Upload/Product/2022/5-18/202251829411523.jpg</t>
  </si>
  <si>
    <t>https://eo-sgp-cos.ruijie.com/FU/Upload/Product/2022/5-18/202251829255343.jpg</t>
  </si>
  <si>
    <t>Reyee Wi-Fi 6 AX3202 Ceiling AP 4x4 MIMO 2.5G+1G Port รองรับ 100 Devices</t>
  </si>
  <si>
    <t>• Wi-Fi 6 AX3202 (3.2Gbps) 4x4 MIMO
• 2.5G + 1G Port / PoE+ 802.3at
• L2/L3 Roaming / 500+ Clients
• Cloud Managed ผ่าน Ruijie Cloud
• รับประกันศูนย์ไทย 3 ปี</t>
  </si>
  <si>
    <t>Wi-Fi Standard: WiFi 6 (802.11ax)
Max Speed: AX3202 (3.2Gbps)
MIMO: 4x4 MU-MIMO
Recommended Users: 100
Coverage: 100 sqm
LAN Port: 1x 2.5G + 1x Gigabit
Power: PoE+ 802.3at (25.4W)
Dimensions: 220x220x35 mm
Warranty: 3 ปี</t>
  </si>
  <si>
    <t>WiFi6,AX3202,Ceiling,4x4MIMO,2.5G</t>
  </si>
  <si>
    <t>rg-rap2260h</t>
  </si>
  <si>
    <t>RG-RAP2260(H)</t>
  </si>
  <si>
    <t>RG-RAP2260(H) Reyee Wi-Fi 6 AX6000 4x4 MIMO High-Density Ceiling AP</t>
  </si>
  <si>
    <t>https://eo-sgp-cos.ruijie.com/FU/Upload/Product/2022/10-12/2022101229354944.png</t>
  </si>
  <si>
    <t>https://eo-sgp-cos.ruijie.com/FU/Upload/Product/2022/10-12/2022101229898177.png</t>
  </si>
  <si>
    <t>https://eo-sgp-cos.ruijie.com/FU/Upload/Product/2022/10-12/2022101229757839.png</t>
  </si>
  <si>
    <t>Reyee Wi-Fi 6 AX6000 High-Density Ceiling AP 4x4 MIMO 2x 2.5G Port รองรับ 512 Clients</t>
  </si>
  <si>
    <t>• Wi-Fi 6 AX6000 (5.95Gbps) 4x4 MIMO
• 2x 2.5G Port / PoE++ 802.3bt
• Reyee Mesh / Standalone Portal
• Cloud Managed ผ่าน Ruijie Cloud
• รับประกันศูนย์ไทย 3 ปี</t>
  </si>
  <si>
    <t>Wi-Fi Standard: WiFi 6 (802.11ax)
Max Speed: AX6000 (5.95Gbps)
MIMO: 4x4
Max Clients: 512
Coverage: 100 sqm
LAN Port: 2x 2.5G
Power: PoE++ 802.3bt
Installation: Indoor Ceiling
Warranty: 3 ปี</t>
  </si>
  <si>
    <t>WiFi6,AX6000,Ceiling,4x4MIMO,HighDensity</t>
  </si>
  <si>
    <t>rg-rap2266</t>
  </si>
  <si>
    <t>RG-RAP2266</t>
  </si>
  <si>
    <t>RG-RAP2266 Reyee Wi-Fi 6 AX3000 Indoor Ceiling-Mount Access Point</t>
  </si>
  <si>
    <t>https://eo-sgp-cos.ruijie.com/background/other/2023-05-16/8d65b49286564d1494012cd0a407a380.png</t>
  </si>
  <si>
    <t>https://eo-sgp-cos.ruijie.com/background/other/2023-06-09/f7571e7929044cc2ba6eb2770a89612b.png</t>
  </si>
  <si>
    <t>https://eo-sgp-cos.ruijie.com/background/other/2023-06-09/89a1aaae87a64921b5dfdc25ac1fb1e4.jpg</t>
  </si>
  <si>
    <t>Reyee Wi-Fi 6 AX3000 Ceiling AP 2x2 MIMO 1G Port รองรับ 110 Devices 150 ตร.ม.</t>
  </si>
  <si>
    <t>• Wi-Fi 6 AX3000 (574+2402 Mbps) 2x2 MIMO
• 1x Gigabit Port / PoE+ 802.3at / 12VDC
• Reyee Mesh / Seamless Roaming
• รองรับ 512 Clients (แนะนำ 110)
• รับประกันศูนย์ไทย 3 ปี</t>
  </si>
  <si>
    <t>Wi-Fi Standard: WiFi 6 (802.11ax)
Max Speed: AX3000 (574+2402 Mbps)
MIMO: 2x2 MU-MIMO
Max Clients: 512 (110 recommended)
Coverage: 150 sqm
LAN Port: 1x Gigabit
Power: PoE+ 802.3at / 12VDC
Dimensions: 220x220x52.6 mm
Warranty: 3 ปี</t>
  </si>
  <si>
    <t>WiFi6,AX3000,Ceiling,PoE</t>
  </si>
  <si>
    <t>rg-rap52-od</t>
  </si>
  <si>
    <t>RG-RAP52-OD</t>
  </si>
  <si>
    <t>RG-RAP52-OD Reyee Wi-Fi 5 AC1300 Dual-Band Outdoor Access Point IP65</t>
  </si>
  <si>
    <t>https://eo-sgp-cos.ruijie.com/background/other/2023-11-07/643f51278859491b83f625a8a5f2d62a.png</t>
  </si>
  <si>
    <t>https://eo-sgp-cos.ruijie.com/background/other/2023-11-07/a5c33eac5b784b87a67b9b3f3343cfba.png</t>
  </si>
  <si>
    <t>https://eo-sgp-cos.ruijie.com/background/other/2023-11-07/bab35c86305d44b7b751f36047d5505c.png</t>
  </si>
  <si>
    <t>Reyee Wi-Fi 5 AC1300 Outdoor AP IP65 Mesh AI Roaming 1G Port รองรับ 20 Devices</t>
  </si>
  <si>
    <t>• Wi-Fi 5 AC1300 (1.3Gbps) IP65 Outdoor
• Detachable Antenna / Reyee Mesh
• 1x Gigabit Port / PoE 802.3af
• Cloud Managed ผ่าน Ruijie Cloud
• รับประกันศูนย์ไทย 3 ปี</t>
  </si>
  <si>
    <t>Wi-Fi Standard: WiFi 5 (802.11ac)
Max Speed: AC1300 (1.3Gbps)
MIMO: 2x2
Recommended Users: 20
Coverage: 200 sqm
LAN Port: 1x Gigabit
Installation: Outdoor IP65
Power: PoE 802.3af / 12V passive (14W)
Operating Temp: -30 to +70 C
Warranty: 3 ปี</t>
  </si>
  <si>
    <t>WiFi5,AC1300,Outdoor,IP65,Mesh</t>
  </si>
  <si>
    <t>rg-rap6202g</t>
  </si>
  <si>
    <t>RG-RAP6202(G)</t>
  </si>
  <si>
    <t>RG-RAP6202(G) Reyee Wi-Fi 5 AC1300 Outdoor Omni-directional Access Point</t>
  </si>
  <si>
    <t>https://eo-sgp-cos.ruijie.com/FU/Upload/Product/2022/8-18/202281833511100.png</t>
  </si>
  <si>
    <t>https://eo-sgp-cos.ruijie.com/FU/Upload/Product/2022/8-18/202281833825103.png</t>
  </si>
  <si>
    <t>https://eo-sgp-cos.ruijie.com/FU/Upload/Product/2022/8-18/202281833278444.png</t>
  </si>
  <si>
    <t>Reyee Wi-Fi 5 AC1300 Outdoor Omni AP IP68 2x Gigabit Port PoE+ รองรับ 96 Devices</t>
  </si>
  <si>
    <t>• Wi-Fi 5 AC1300 Outdoor Omni-Directional IP68
• 2x2 MU-MIMO / 2x Gigabit Port / PoE+
• Cloud Managed / Controller / Standalone
• รับประกันศูนย์ไทย 3 ปี</t>
  </si>
  <si>
    <t>Wi-Fi Standard: WiFi 5 (802.11ac) Wave 2
Max Speed: AC1300 (400+867 Mbps)
MIMO: 2x2 MU-MIMO
Max Clients: 110 (96 recommended)
Coverage: 200 sqm
LAN Port: 2x Gigabit
Antenna: 4 Omni (3dBi each)
IP Rating: IP68
Power: PoE+ 802.3at / 12VDC (13W)
Operating Temp: -30 to +65 C
Warranty: 3 ปี</t>
  </si>
  <si>
    <t>WiFi5,AC1300,Outdoor,Omni,IP68</t>
  </si>
  <si>
    <t>rg-rap6260g</t>
  </si>
  <si>
    <t>RG-RAP6260(G)</t>
  </si>
  <si>
    <t>RG-RAP6260(G) Reyee AX1800 Wi-Fi 6 Dual Band Outdoor Access Point IP68</t>
  </si>
  <si>
    <t>https://eo-sgp-cos.ruijie.com/background/other/2025-08-28/Frame%201-20250828-162454.png</t>
  </si>
  <si>
    <t>https://eo-sgp-cos.ruijie.com/background/other/2025-08-28/Frame%202-20250828-162455.png</t>
  </si>
  <si>
    <t>https://eo-sgp-cos.ruijie.com/background/other/2025-08-28/Frame%208-20250828-162455.png</t>
  </si>
  <si>
    <t>Reyee Wi-Fi 6 AX1800 Outdoor AP IP68 2x Gigabit Port PoE+ Cloud Managed</t>
  </si>
  <si>
    <t>• Wi-Fi 6 AX1800 (1.8Gbps) Outdoor IP68
• 2x2 MU-MIMO / 2x Gigabit Port / PoE+
• Cloud Managed ผ่าน Ruijie Cloud
• รับประกันศูนย์ไทย 3 ปี</t>
  </si>
  <si>
    <t>Wi-Fi Standard: WiFi 6 (802.11ax)
Max Speed: AX1800 (1.8Gbps)
MIMO: 2x2
Coverage: 200 sqm
LAN Port: 2x Gigabit
IP Rating: IP68
Power: PoE+ 802.3at / 12VDC
Dimensions: 194x194x35 mm
Operating Temp: -30 to +65 C
Warranty: 3 ปี</t>
  </si>
  <si>
    <t>WiFi6,AX1800,Outdoor,IP68,Gigabit</t>
  </si>
  <si>
    <t>rg-rap6262g</t>
  </si>
  <si>
    <t>RG-RAP6262(G)</t>
  </si>
  <si>
    <t>RG-RAP6262(G) Reyee Wi-Fi 6 AX1800 Outdoor Omni Access Point IP68</t>
  </si>
  <si>
    <t>https://eo-sgp-cos.ruijie.com/FU/Upload/Product/2022/8-17/202281731822386.jpg</t>
  </si>
  <si>
    <t>https://eo-sgp-cos.ruijie.com/FU/Upload/Product/2022/8-17/202281731502316.jpg</t>
  </si>
  <si>
    <t>https://eo-sgp-cos.ruijie.com/FU/Upload/Product/2022/8-17/20228173163113.jpg</t>
  </si>
  <si>
    <t>Reyee Wi-Fi 6 AX1800 Outdoor Omni AP IP68 2x Gigabit Port PoE+ รองรับ 256 Clients</t>
  </si>
  <si>
    <t>• Wi-Fi 6 AX1800 (574+1201 Mbps) IP68 Omni
• 2x2 MIMO / 2x Gigabit Port / PoE+
• L2/L3 Roaming / Cloud Managed
• รับประกันศูนย์ไทย 3 ปี</t>
  </si>
  <si>
    <t>Wi-Fi Standard: WiFi 6 (802.11ax)
Max Speed: AX1800 (574+1201 Mbps)
MIMO: 2x2
Max Clients: 256
Coverage: 100m(2.4G) / 300m(5G)
LAN Port: 2x Gigabit
IP Rating: IP68
Power: PoE+ 802.3at / 12VDC (18W)
Dimensions: 200x220x166 mm
Warranty: 3 ปี</t>
  </si>
  <si>
    <t>WiFi6,AX1800,Outdoor,IP68,Omni</t>
  </si>
  <si>
    <t>rg-rap6262</t>
  </si>
  <si>
    <t>RG-RAP6262</t>
  </si>
  <si>
    <t>RG-RAP6262 Reyee AX3000 Wi-Fi 6 Outdoor Access Point SFP Port IP68</t>
  </si>
  <si>
    <t>https://eo-sgp-cos.ruijie.com/FU/Upload/Product/2022/11-16/202211161082420.png</t>
  </si>
  <si>
    <t>https://eo-sgp-cos.ruijie.com/FU/Upload/Product/2022/11-16/2022111610388782.png</t>
  </si>
  <si>
    <t>https://eo-sgp-cos.ruijie.com/FU/Upload/Product/2022/11-16/2022111610824960.png</t>
  </si>
  <si>
    <t>Reyee Wi-Fi 6 AX3000 Outdoor AP IP68 SFP Fiber Port ระยะ 5GHz 150m Cloud Managed</t>
  </si>
  <si>
    <t>• Wi-Fi 6 AX3000 (2.97Gbps) IP68 Omni
• 1x Gigabit + 1x SFP รองรับ Fiber 20km
• Reyee Mesh / PoE+ 802.3at
• Cloud Managed ผ่าน Ruijie Cloud
• รับประกันศูนย์ไทย 3 ปี</t>
  </si>
  <si>
    <t>Wi-Fi Standard: WiFi 6 (802.11ax)
Max Speed: AX3000 (574+2402 Mbps)
MIMO: 2x2 MU-MIMO
Coverage: 5GHz 150m / 2.4GHz 50m
LAN Port: 1x Gigabit + 1x SFP
IP Rating: IP68
Power: PoE+ 802.3at / 12VDC (24W)
Dimensions: 230x230x195 mm
Warranty: 3 ปี</t>
  </si>
  <si>
    <t>WiFi6,AX3000,Outdoor,IP68,SFP</t>
  </si>
  <si>
    <t>rg-rap6260h</t>
  </si>
  <si>
    <t>RG-RAP6260(H)</t>
  </si>
  <si>
    <t>RG-RAP6260(H) Reyee AX6000 High-Density Outdoor Omni-Directional AP</t>
  </si>
  <si>
    <t>https://eo-sgp-cos.ruijie.com/background/other/2025-04-30/Frame%2011-20250430-102101.png</t>
  </si>
  <si>
    <t>https://eo-sgp-cos.ruijie.com/FU/Upload/Product/2022/11-24/2022112426697393.png</t>
  </si>
  <si>
    <t>https://eo-sgp-cos.ruijie.com/FU/Upload/Product/2022/11-24/2022112426980591.png</t>
  </si>
  <si>
    <t>Reyee Wi-Fi 6 AX6000 Outdoor Omni AP IP68 4x4 MIMO 2.5G+SFP รองรับ 512 Clients</t>
  </si>
  <si>
    <t>• Wi-Fi 6 AX6000 (5.95Gbps) 4x4 MIMO Outdoor Omni
• IP68 / 2.5G + SFP / PoE++ 802.3bt
• ระยะ 100m(2.4G) / 300m(5G)
• รับประกันศูนย์ไทย 3 ปี</t>
  </si>
  <si>
    <t>Wi-Fi Standard: WiFi 6 (802.11ax)
Max Speed: AX6000 (5.95Gbps)
MIMO: 4x4
Max Clients: 512
Coverage: 100m(2.4G) / 300m(5G)
LAN Port: 1x 2.5G + 1x SFP
IP Rating: IP68
Power: PoE++ 802.3bt
Dimensions: 300x300x75.5 mm
Warranty: 3 ปี</t>
  </si>
  <si>
    <t>WiFi6,AX6000,Outdoor,IP68,4x4MIMO,Omni</t>
  </si>
  <si>
    <t>rg-rap73hd</t>
  </si>
  <si>
    <t>RG-RAP73HD</t>
  </si>
  <si>
    <t>RG-RAP73HD Reyee Wi-Fi 7 Tri-Radio 2.4/5/6GHz Ceiling Access Point</t>
  </si>
  <si>
    <t>https://eo-sgp-cos.ruijie.com/background/other/2023-07-13/faa8e0552ce142468364c748c920fd23.png</t>
  </si>
  <si>
    <t>https://eo-sgp-cos.ruijie.com/background/other/2023-07-13/334d2946d09f4ff8b52d2e5db245f2cc.png</t>
  </si>
  <si>
    <t>https://eo-sgp-cos.ruijie.com/background/other/2023-07-13/0e2098cceb8e4a36a9feb022439589b1.png</t>
  </si>
  <si>
    <t>Reyee Wi-Fi 7 BE19000 Tri-Radio 2.4/5/6GHz Ceiling AP 4x4 MIMO 10G+SFP+ รองรับ 1500 Clients</t>
  </si>
  <si>
    <t>• Wi-Fi 7 BE19000 Tri-Radio 2.4/5/6GHz 4x4 MIMO
• 10G + SFP+ 10G + 1G Port / PoE++ 60W
• 6GHz/320MHz Ultra-High Rate / 1500 Clients
• Cloud Managed ผ่าน Ruijie Cloud
• รับประกันศูนย์ไทย 3 ปี</t>
  </si>
  <si>
    <t>Wi-Fi Standard: WiFi 7 (802.11be)
Max Speed: BE19000 (2.4G:1.3G / 5G:5.76G / 6G:11.52G)
Bands: Tri-Radio 2.4/5/6GHz
MIMO: 4x4 (all bands)
Max Clients: 1500
LAN Port: 1x 10G + 1x SFP+ + 1x 1G
Power: PoE++ 802.3bt 60W
Dimensions: 258x258x59.5 mm
Warranty: 3 ปี</t>
  </si>
  <si>
    <t>WiFi7,BE19000,TriBand,6GHz,10G,HighDensity</t>
  </si>
  <si>
    <t>rg-rap1260</t>
  </si>
  <si>
    <t>RG-RAP1260</t>
  </si>
  <si>
    <t>RG-RAP1260 Reyee Wi-Fi 6 AX3000 Dual-Band Wall Plate Access Point</t>
  </si>
  <si>
    <t>https://eo-sgp-cos.ruijie.com/background/other/2024-03-22/3e4aba76fcba44df9d824a1f69754d0b.png</t>
  </si>
  <si>
    <t>https://eo-sgp-cos.ruijie.com/background/other/2024-03-22/0f737dd2317b41dcac46eb290823f9d8.png</t>
  </si>
  <si>
    <t>https://eo-sgp-cos.ruijie.com/background/other/2024-03-22/06f4c107b3e645dfa5e06e244c139cc3.png</t>
  </si>
  <si>
    <t>Reyee Wi-Fi 6 AX3000 Wall Plate AP 5x Gigabit (4 LAN+1 Uplink) PoE รองรับ 110 Devices</t>
  </si>
  <si>
    <t>• Wi-Fi 6 AX3000 (574+2402 Mbps) 2x2 MIMO
• 5x Gigabit (4x LAN + 1x Uplink) / PoE 802.3af
• Roaming 802.11k/v / Cloud Managed
• รับประกันศูนย์ไทย 3 ปี</t>
  </si>
  <si>
    <t>Wi-Fi Standard: WiFi 6 (802.11ax)
Max Speed: AX3000 (574+2402 Mbps)
MIMO: 2x2
Max Clients: 512 (110 recommended)
Coverage: 50 sqm
LAN Port: 4x Gigabit + 1x Uplink
Power: PoE 802.3af (12W)
Dimensions: 124x86x24 mm
Warranty: 3 ปี</t>
  </si>
  <si>
    <t>WiFi6,AX3000,WallPlate,5Port</t>
  </si>
  <si>
    <t>rg-rap1261</t>
  </si>
  <si>
    <t>RG-RAP1261</t>
  </si>
  <si>
    <t>RG-RAP1261 Reyee Wi-Fi 6 AX3000 Ultra-Thin Wall Plate Access Point</t>
  </si>
  <si>
    <t>https://eo-sgp-cos.ruijie.com/background/other/2023-05-16/27ebd871787f4efdae089e08098e4bf3.png</t>
  </si>
  <si>
    <t>https://eo-sgp-cos.ruijie.com/background/other/2023-07-13/6152b78f396047a5af6a2ee21e507033.png</t>
  </si>
  <si>
    <t>https://eo-sgp-cos.ruijie.com/background/other/2023-07-13/054be5cea16d4f57a61fcc7228f28bfc.png</t>
  </si>
  <si>
    <t>Reyee Wi-Fi 6 AX3000 Ultra-Thin Wall Plate AP 8.5mm 2x Gigabit Port PoE</t>
  </si>
  <si>
    <t>• Wi-Fi 6 AX3000 (574+2402 Mbps) Ultra-Thin 8.5mm
• 2x Gigabit Port / PoE 802.3af
• Mesh WiFi / 802.11K/V Roaming
• รับประกันศูนย์ไทย 3 ปี</t>
  </si>
  <si>
    <t>Wi-Fi Standard: WiFi 6 (802.11ax)
Max Speed: AX3000 (574+2402 Mbps)
MIMO: 2x2
Recommended Users: 20
Coverage: 50 sqm
LAN Port: 1x Uplink + 1x Downlink Gigabit
Power: PoE 802.3af (10.2W)
Dimensions: 86x86x42.4 mm
Warranty: 3 ปี</t>
  </si>
  <si>
    <t>WiFi6,AX3000,WallPlate,UltraThin</t>
  </si>
  <si>
    <t>rg-rap1201</t>
  </si>
  <si>
    <t>RG-RAP1201</t>
  </si>
  <si>
    <t>RG-RAP1201 Reyee Wi-Fi 5 AC1267 Gigabit Wall-Mounted Access Point</t>
  </si>
  <si>
    <t>https://eo-sgp-cos.ruijie.com/background/other/2023-07-27/3fe080e49ebf4437ac46868043a8c4db.png</t>
  </si>
  <si>
    <t>https://eo-sgp-cos.ruijie.com/background/other/2023-07-27/a167b070ff344d6b865e69d15785c03b.png</t>
  </si>
  <si>
    <t>https://eo-sgp-cos.ruijie.com/background/other/2023-07-27/3bf31ba0473b4a4ab3a648997440a98f.png</t>
  </si>
  <si>
    <t>Reyee Wi-Fi 5 AC1267 Wall Mount AP 2x Gigabit Port PoE Cloud Managed รองรับ 20 Devices</t>
  </si>
  <si>
    <t>• Wi-Fi 5 AC1267 (400+867 Mbps) Wave 2
• 2x Gigabit Port / PoE 802.3af
• Cloud Managed / Controller / Standalone
• รับประกันศูนย์ไทย 3 ปี</t>
  </si>
  <si>
    <t>Wi-Fi Standard: WiFi 5 (802.11ac) Wave 2
Max Speed: AC1267 (400+867 Mbps)
MIMO: 2x2
Recommended Users: 20
Coverage: 50 sqm
LAN Port: 2x Gigabit
Power: PoE 802.3af (9W)
Dimensions: 86x86x42.4 mm
Warranty: 3 ปี</t>
  </si>
  <si>
    <t>WiFi5,AC1267,WallMount,Gigabit,PoE</t>
  </si>
  <si>
    <t>rg-rap1200f</t>
  </si>
  <si>
    <t>RG-RAP1200(F)</t>
  </si>
  <si>
    <t>RG-RAP1200(F) Reyee Wall-Mountable Wireless Access Point Dual-Band AC</t>
  </si>
  <si>
    <t>https://eo-sgp-cos.ruijie.com/FU/Upload/Product/2022/6-23/202262359199673.png</t>
  </si>
  <si>
    <t>https://eo-sgp-cos.ruijie.com/FU/Upload/Product/2022/6-23/20226235933911.jpg</t>
  </si>
  <si>
    <t>https://eo-sgp-cos.ruijie.com/FU/Upload/Product/2022/6-23/202262359621210.jpg</t>
  </si>
  <si>
    <t>Reyee Wi-Fi 5 AC1200 Wall Mount AP 1x 100Mbps Port PoE ตั้งค่าใน 3 นาที รองรับ 24 Devices</t>
  </si>
  <si>
    <t>• Wi-Fi 5 Dual-Band AC1200 (400+867 Mbps)
• 1x 100Mbps (Front) + 1x PoE 100Mbps (Rear)
• PoE 802.3af / ตั้งค่าง่ายใน 3 นาที
• Wall Plate 86mm / Cloud Managed
• รับประกันศูนย์ไทย 3 ปี</t>
  </si>
  <si>
    <t>Wi-Fi Standard: WiFi 5 (802.11ac)
Max Speed: AC1200 (400+867 Mbps)
MIMO: 2x2
Max Clients: 110 (24 recommended)
LAN Port: 1x 100Mbps + 1x PoE 100Mbps
Power: PoE 802.3af (&lt;8W)
Dimensions: 86x86x29.3 mm
Warranty: 3 ปี</t>
  </si>
  <si>
    <t>WiFi5,AC1200,WallMount,PoE</t>
  </si>
  <si>
    <t>rg-rap1200p</t>
  </si>
  <si>
    <t>RG-RAP1200(P)</t>
  </si>
  <si>
    <t>RG-RAP1200(P) Reyee Dual-Band Wall Plate AP ac 5 Port Gigabit</t>
  </si>
  <si>
    <t>https://eo-sgp-cos.ruijie.com/FU/Upload/Product/2022/6-23/202262351527417.jpg</t>
  </si>
  <si>
    <t>https://eo-sgp-cos.ruijie.com/FU/Upload/Product/2022/6-23/202262351793974.jpg</t>
  </si>
  <si>
    <t>https://eo-sgp-cos.ruijie.com/FU/Upload/Product/2022/6-23/20226235143368.jpg</t>
  </si>
  <si>
    <t>Reyee Wi-Fi 5 AC1267 Wall Plate AP 4x Gigabit LAN + 1 Uplink PoE L2/L3 Roaming</t>
  </si>
  <si>
    <t>• Wi-Fi 5 AC1267 (400+867 Mbps) Wave 2
• 4x Gigabit LAN + 1x Gigabit Uplink
• PoE 802.3af / L2/L3 Roaming
• Cloud Managed ผ่าน Ruijie Cloud
• รับประกันศูนย์ไทย 3 ปี</t>
  </si>
  <si>
    <t>Wi-Fi Standard: WiFi 5 (802.11ac) Wave 2
Max Speed: AC1267 (400+867 Mbps)
MIMO: 2x2
Recommended Users: 20
Coverage: 100 sqm
LAN Port: 4x Gigabit + 1x Uplink
Power: PoE 802.3af (8W)
Dimensions: 126x86x50 mm
Warranty: 3 ปี</t>
  </si>
  <si>
    <t>WiFi5,AC1267,WallPlate,5Port,PoE</t>
  </si>
  <si>
    <t>rg-eap602</t>
  </si>
  <si>
    <t>RG-EAP602</t>
  </si>
  <si>
    <t>RG-EAP602 Reyee Outdoor Wireless Access Point AC Wave 2 IP68</t>
  </si>
  <si>
    <t>https://rshop.rweb-images.com/46sZ3KqiBNuDlqSYQLhnHKxTanY=/59668de571bf4beb95d1c6343fadfa92</t>
  </si>
  <si>
    <t>https://rshop.rweb-images.com/Hl1z51bWEcL_8lW0tARZr5jq1Io=/6f3c854152d941548d010a8c0cdc7d40</t>
  </si>
  <si>
    <t>https://rshop.rweb-images.com/efjY81c1-VXDyQAKwz-JBmUKdOw=/722d393af10e4162b1a2df4ef3f91ee0</t>
  </si>
  <si>
    <t>Reyee Wi-Fi 5 AC1167 Outdoor AP IP68 Omni 2x Gigabit Port PoE ระยะ 300m</t>
  </si>
  <si>
    <t>• Wi-Fi 5 AC1167 (300+867 Mbps) Wave 2 IP68
• 2x Gigabit Port / Surge Protection 6000V
• ระยะสูงสุด 300m / PoE 802.3af/at
• Cloud Managed ผ่าน Ruijie Cloud
• รับประกันศูนย์ไทย 3 ปี</t>
  </si>
  <si>
    <t>Wi-Fi Standard: WiFi 5 (802.11ac) Wave 2
Max Speed: AC1167 (300+867 Mbps)
MIMO: 2x2
Max Clients: 164 (96 recommended)
Coverage: 300m
LAN Port: 2x Gigabit
Antenna: Omni 3dBi
IP Rating: IP68
Surge Protection: 6000V
Power: PoE 802.3af/at / 12VDC (12.95W)
MTBF: 250000 hours
Warranty: 3 ปี</t>
  </si>
  <si>
    <t>WiFi5,AC1167,Outdoor,IP68,LongRange</t>
  </si>
  <si>
    <t>RG-EG406XS-P</t>
  </si>
  <si>
    <t>RG-EG406XS-P Reyee Cloud Router 4 WAN Internet 2.5Gbps, 400 Clients, POE</t>
  </si>
  <si>
    <t>https://eo-sgp-cos.ruijie.com/background/other/2025-09-09/Frame%201-20250909-104328.png</t>
  </si>
  <si>
    <t>https://eo-sgp-cos.ruijie.com/background/other/2025-09-09/Frame%202-20250909-104328.png</t>
  </si>
  <si>
    <t>https://eo-sgp-cos.ruijie.com/background/other/2025-09-09/Frame%203-20250909-104328.png</t>
  </si>
  <si>
    <t>RG-EG406XS-P Reyee Cloud Managed Router, Internet Throughput 2.5Gbps, Authen 400 Clients</t>
  </si>
  <si>
    <t>RG-EG406XS-P Reyee Cloud Managed Router, Internet Throughput 2.5Gbps, Authen 400 Clients, POE 4 Port 110W, Firewall Block App เช่น Bitorrent รองรับ 400 Clients, Port LAN 2.5Gbps, Port SFP+ 10Gbps
RG-EG406XS-P Reyee Cloud Managed Router 4 WAN, POE 110W
• รองรับ Loadbalance Internet Throughput สูงสุด 2.5Gbps, รองรับการทำ Cloud/Local Authen ได้สูงสุด 400 Clients, จ่ายไฟ POE 4 Port 110W, Firewall Block Application เช่น Bittorrent, Game-Online, Youtube พร้อม Port LAN 2.5Gbps, Port SFP+ 10Gbps บริหารจัดการผ่าน Ruijie Cloud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จ่ายไฟ POE 4 Port มาตรฐาน 802.3af/at สูงสุด 110
• ทำ Loadbalance ได้สูงสุด 4WAN รองรับ Mode Load-Balance และ Fail Over
• รองรับ Internet ความเร็วสูงสุด 2.5Gbps
• รองรับ Client ได้ถึง 400 Device
• รองรับการทำ Authen ได้สูงถึง 400 Accounts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Port LAN ความเร็ว 2.5Gbps, Port SFP+ ความเร็ว 10Gbps
• รองรับการ Block ระดับ Application เช่น Bittorrent, Youtube, Video Streaming และ App อื่นๆอีกมากกว่า 300+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</si>
  <si>
    <t xml:space="preserve">Router : TypeCloud Managed Multi-WAN VPN Router
Multi-WAN : SupportLoad Balance &amp; Failover, SD-WAN
Throughput : สูงสุด (Max Throughput)Up to 2.5Gbps
จำนวนผู้ใช้งานที่แนะนำ (Recommended Users) : 400 Users
WAN Ports : 4 WAN (3x 2.5G Multi-Gig Ethernet, 1x 10G SFP+)
จำนวนพอร์ต SFP (SFP Port) : 1x SFP
LAN Ports : 6 LAN (5x 2.5G Multi-Gig, 1x 10G SFP+)
Port Speed : 2.5G Multi-Gig Ethernet
VPN Support : IPSec / OpenVPN / WireGuard / SD-WAN
การบริหารจัดการ (Management) : Cloud Managed / Controller / Web Managed
VPN Throughput : 700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
</t>
  </si>
  <si>
    <t>RG-EG406XS</t>
  </si>
  <si>
    <t>RG-EG406XS Reyee Cloud Router 4 WAN Internet 2.5Gbps, 400 Clients</t>
  </si>
  <si>
    <t>https://eo-sgp-cos.ruijie.com/background/other/2025-09-09/Frame%201-20250909-100402.png</t>
  </si>
  <si>
    <t>https://eo-sgp-cos.ruijie.com/background/other/2025-09-09/Frame%202-20250909-100402.png</t>
  </si>
  <si>
    <t>https://eo-sgp-cos.ruijie.com/background/other/2025-09-09/Frame%203-20250909-100402.png</t>
  </si>
  <si>
    <t>RG-EG406XS Reyee Cloud Managed Router, Internet Throughput 2.5Gbps, Authen 400 Clients</t>
  </si>
  <si>
    <t>RG-EG406XS Reyee Cloud Managed Router, Internet Throughput 2.5Gbps, Authen 400 Clients, Firewall Block App เช่น Bitorrent รองรับ 400 Clients, Port LAN 2.5Gbps, Port SFP+ 10Gbps, บริหารจัดการผ่าน Ruijie Cloud
RG-EG406XS Reyee Cloud Managed Router 4 WAN
• รองรับ Loadbalance Internet Throughput สูงสุด 2.5Gbps, รองรับการทำ Cloud/Local Authen ได้สูงสุด 400 Clients, Firewall Block Application เช่น Bittorrent, Game-Online, Youtube พร้อม Port LAN 2.5Gbps, Port SFP+ 10Gbps บริหารจัดการผ่าน Ruijie Cloud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Load-Balance และ Fail Over
• รองรับ Internet ความเร็วสูงสุด 2.5Gbps
• รองรับ Client ได้ถึง 400 Device
• รองรับการทำ Authen ได้สูงถึง 400 Accounts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Port LAN ความเร็ว 2.5Gbps, Port SFP+ ความเร็ว 10Gbps
• รองรับการ Block ระดับ Application เช่น Bittorrent, Youtube, Video Streaming และ App อื่นๆอีกมากกว่า 300+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</si>
  <si>
    <t>Router : TypeCloud Managed Multi-WAN VPN Router
Multi-WAN : SupportLoad Balance &amp; Failover, SD-WAN
Throughput : สูงสุด (Max Throughput)Up to 2.5Gbps
จำนวนผู้ใช้งานที่แนะนำ (Recommended Users) : 400 Users
WAN Ports : 4 WAN (3x 2.5G Multi-Gig Ethernet, 1x 10G SFP+)
จำนวนพอร์ต SFP (SFP Port) : 1x SFP
LAN Ports : 6 LAN (5x 2.5G Multi-Gig, 1x 10G SFP+)
Port Speed : 2.5G Multi-Gig Ethernet
VPN Support : IPSec / OpenVPN / WireGuard / SD-WAN
การบริหารจัดการ (Management) : Cloud Managed / Controller / Web Managed
VPN Throughput : 700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</si>
  <si>
    <t>Gateway,VPN,Firewall,L7DPI</t>
  </si>
  <si>
    <t>RG-EG1510XS</t>
  </si>
  <si>
    <t>RG-EG1510XS Reyee Cloud Router 4 WAN Internet 4Gbps, 1500 Clients</t>
  </si>
  <si>
    <t>https://eo-sgp-cos.ruijie.com/background/other/2024-03-21/1d8d0af3d0ef4ba6ba328644c81d1576.png</t>
  </si>
  <si>
    <t>https://eo-sgp-cos.ruijie.com/background/other/2024-03-21/5fcbe0dbc2ad4ead8b4165254b47ab3f.png</t>
  </si>
  <si>
    <t>https://eo-sgp-cos.ruijie.com/background/other/2024-03-21/2ac5f6cce8c14391a71a195f76a12f1a.png</t>
  </si>
  <si>
    <t xml:space="preserve">RG-EG1510XS Reyee Cloud Managed Router 4 WAN, Internet Throughput 4Gbps, Authen 1500 Clients, Firewall Block App เช่น Bitorrent, รองรับ Harddisk เก็บ Internet Log, Port LAN 2.5Gbps, Port SFP+ 10Gbps, บริหารจัดการผ่าน Ruijie Cloud
RG-EG1510XS Reyee Cloud Managed Router 8 WAN
• รองรับ Loadbalance Internet Throughput สูงสุด 4Gbps, รองรับการทำ Cloud/Local Authen ได้สูงสุด 1,500 Clients, สามารถเพิ่ม Harddisk สำหรับเก็บ Log การใช้งาน Internet ของ Users, รองรับ 1500 Clients, Firewall Block Application เช่น Bittorrent, Game-Online, Youtube พร้อม Port LAN 2.5Gbps, Port SFP+ 10Gbps บริหารจัดการผ่าน Ruijie Cloud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8WAN รองรับ Mode Load-Balance และ Fail Over
• รองรับ Internet ความเร็วสูงสุด 4Gbps
• รองรับ Client ได้ถึง 1,500 Device
• รองรับการทำ Authen ได้สูงถึง 1,500 Accounts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Port LAN ความเร็ว 2.5Gbps, Port SFP+ ความเร็ว 10Gbps
• รองรับการ Block ระดับ Application เช่น Bittorrent, Youtube, Video Streaming และ App อื่นๆอีกมากกว่า 300+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
• รองรับการใส่ Harddisk สำหรับเก็บ Log การใช้งาน Internet
</t>
  </si>
  <si>
    <t xml:space="preserve">Router Type : Cloud Managed Multi-WAN VPN Router
Multi-WAN Support : Load Balance &amp; Failover, SD-WAN
Throughput สูงสุด (Max Throughput) : Up to 4Gbps
จำนวนผู้ใช้งานที่แนะนำ (Recommended Users) : 1500 Users
WAN Ports : 7 WAN (2x Gigabit, 3x 2.5G Multi-Gig Ethernet, 2x 10G SFP+)
จำนวนพอร์ต SFP (SFP Port) : 2x SFP
LAN Ports : 8 LAN (5x Gigabit, 3x 2.5G Multi-Gig)
Port Speed : 2.5G Multi-Gig Ethernet
การบริหารจัดการ (Management) : Cloud Managed / Controller / Web Managed
VPN Support : IPSec / OpenVPN / WireGuard / SD-WAN
VPN Throughput : 900 Mbps
Captive Portal / เก็บ Log ตาม พ.ร.บ. คอมพิวเตอร์ : รองรับ Captive Portal และจัดเก็บ Log ผ่าน Syslog Server / Harddisk / NAS
การรับประกัน (Warranty) : รับประกันศูนย์ประเทศไทย 3 ปี
</t>
  </si>
  <si>
    <t>RG-EG710XS</t>
  </si>
  <si>
    <t>RG-EG710XS Reyee Cloud Router 8 WAN Internet 3Gbps, 700 Clients</t>
  </si>
  <si>
    <t>https://eo-sgp-cos.ruijie.com/background/other/2025-06-10/2-20250610-100957.png</t>
  </si>
  <si>
    <t>https://eo-sgp-cos.ruijie.com/background/other/2025-06-10/1-20250610-100958.png</t>
  </si>
  <si>
    <t>https://eo-sgp-cos.ruijie.com/background/other/2025-06-10/4-20250610-100958.png</t>
  </si>
  <si>
    <t>RG-EG710XS Reyee Cloud Managed Router รองรับ Internet 3Gbps, Firewall Block App เช่น Bitorrent, รองรับ 700 Clients, Port LAN 2.5Gbps, Port SFP+ 10Gbps, บริหารจัดการผ่าน Ruijie Cloud
RG-EG710XS Reyee Cloud Managed Router 8 WAN
•  รองรับ Loadbalance 8 WAN, รองรับ Internet Throughput สูงสุด 3Gbps, รองรับการทำ Cloud/Local Authen สูงสุด 700 Account, สามารถเพิ่ม Harddisk สำหรับเก็บ Log การใช้งาน Internet ของ Users, รองรับ 700 Clients, Firewall Block Application เช่น Bittorrent, Game-Online, Youtube พร้อม Port LAN 2.5Gbps, Port SFP+ 10Gbps บริหารจัดการผ่าน Ruijie Cloud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8WAN รองรับ Mode Load-Balance และ Fail Over
• รองรับ Internet ความเร็วสูงสุด 3Gbps
• รองรับ Client ได้ถึง 700 Device
• รองรับการทำ Authen ได้สูงถึง 700 Accounts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Port LAN ความเร็ว 2.5Gbps, Port SFP+ ความเร็ว 10Gbps
• รองรับการ Block ระดับ Application เช่น Bittorrent, Youtube, Video Streaming และ App อื่นๆอีกมากกว่า 300+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</si>
  <si>
    <t>Router Type : Cloud Managed Multi-WAN VPN Router
Multi-WAN Support : Load Balance &amp; Failover, SD-WAN
Throughput สูงสุด (Max Throughput) : Up to 3Gbps
จำนวนผู้ใช้งานที่แนะนำ (Recommended Users) : 700 Users
WAN Ports : 7 WAN (2x Gigabit, 3x 2.5G Multi-Gig Ethernet, 2x 10G SFP+)
จำนวนพอร์ต SFP (SFP Port) : 2x SFP
LAN Ports : 8 LAN (5x Gigabit, 3x 2.5G Multi-Gig)
Port Speed : 2.5G Multi-Gig Ethernet
การบริหารจัดการ (Management) : Cloud Managed / Controller / Web Managed
VPN Support : IPSec / OpenVPN / WireGuard / SD-WAN
VPN Throughput : 900 Mbps
Captive Portal / เก็บ Log ตาม พ.ร.บ. คอมพิวเตอร์ : รองรับ Captive Portal และจัดเก็บ Log ผ่าน Syslog Server / Harddisk / NAS
การรับประกัน (Warranty) : รับประกันศูนย์ประเทศไทย 3 ปี</t>
  </si>
  <si>
    <t>RG-EG310GH-P-E</t>
  </si>
  <si>
    <t>RG-EG310GH-P-E Reyee Cloud Router 3 WAN, IPSec VPN, Internet 1.5Gbps</t>
  </si>
  <si>
    <t>https://eo-sgp-cos.ruijie.com/FU/Upload/Product/2022/7-13/202271348856430.png</t>
  </si>
  <si>
    <t>https://eo-sgp-cos.ruijie.com/FU/Upload/Product/2022/7-13/202271348997570.png</t>
  </si>
  <si>
    <t>https://eo-sgp-cos.ruijie.com/FU/Upload/Product/2022/7-13/202271348278371.png</t>
  </si>
  <si>
    <t>Reyee RG-EG310GH-P-E Cloud Managed Router 3 WAN, IPSec VPN, รองรับ Internet Throughput 1.5Gbps, รองรับ Users 300 Concurrent จ่ายไฟ POE 802.3af/at 110W
RG-EG310GH-P-E
Reyee Cloud Managed Router รองรับ Loadbalance 3 WAN, IPSec VPN/ L2TP with IPSecs/ PPTP, รองรับ Internet Throughput 1.5Gbps, Users 300 Concurrent
•  RG-EG310GH-P-E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Balance และ Fail Over
• รองรับ Internet ความเร็วสูงสุด 1.5Gbps
• จ่ายไฟ POE มาตรฐาน 802.3af/at กำลังไฟสูงสุด 110W
• รองรับการเชื่อมต่อได้ถึง 300Device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รองรับการ Block Bittorrent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</si>
  <si>
    <t>Router : TypeCloud Managed Multi-WAN VPN Router
Multi-WAN : SupportLoad Balance &amp; Failover, SD-WAN
Throughput : สูงสุด (Max Throughput)Up to 1.5Gbps
จำนวนผู้ใช้งานที่แนะนำ (Recommended Users) : 300 Users
WAN Ports : 3 WAN (3x Gigabit)
LAN Ports : 10 LAN (10x Gigabit)
Port Speed : Gigabit Ethernet (10/100/1000)
VPN Support : IPSec / OpenVPN / WireGuard 
การบริหารจัดการ (Management) : Cloud Managed / Controller / Web Managed
VPN Throughput : 230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</si>
  <si>
    <t>RG-EG310GH-E</t>
  </si>
  <si>
    <t>RG-EG310GH-E Reyee Cloud Router 3 WAN, IPSec VPN, Internet 1.5Gbps</t>
  </si>
  <si>
    <t>https://eo-sgp-cos.ruijie.com/FU/Upload/Product/2022/7-13/202271345685718.png</t>
  </si>
  <si>
    <t>https://eo-sgp-cos.ruijie.com/FU/Upload/Product/2022/7-13/202271345966519.png</t>
  </si>
  <si>
    <t>Reyee RG-EG310GH-E Cloud Managed Router Load balance 3 WAN, IPSec VPN, Traffic monitoring รองรับ Internet Throughput 1.5Gbps, รองรับ การทำ Captive Portal ผ่าน Ruijie Cloud, MAX Users 300 Concurrent
 Reyee RG-EG310GH-E Cloud Managed Router รองรับ Loadbalance 3 WAN, IPSec VPN/ L2TP with IPSecs/ PPTP, รองรับ Internet Throughput 1.5Gbps, Users 300 Concurrent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Balance และ Fail Over
•  รองรับ Internet ความเร็วสูงสุด 1.5Gbps
•  รองรับการเชื่อมต่อได้ถึง 300Device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รองรับการ Block Bittorrent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</si>
  <si>
    <t>RG-EG305GH-P-E</t>
  </si>
  <si>
    <t>RG-EG305GH-P-E Reyee Cloud Router 3 WAN, IPSec VPN, Internet 1.5Gbps</t>
  </si>
  <si>
    <t>https://eo-sgp-cos.ruijie.com/FU/Upload/Product/2022/7-13/202271341372101.png</t>
  </si>
  <si>
    <t>https://eo-sgp-cos.ruijie.com/FU/Upload/Product/2022/7-13/202271341513763.png</t>
  </si>
  <si>
    <t>https://eo-sgp-cos.ruijie.com/FU/Upload/Product/2022/7-13/202271341653902.png</t>
  </si>
  <si>
    <r>
      <rPr>
        <rFont val="Arial"/>
        <color theme="1"/>
        <sz val="10.0"/>
      </rPr>
      <t xml:space="preserve">Reyee RG-EG305GH-P-E Cloud Managed Router 3 WAN, IPSec VPN, รองรับ Internet Throughput 1.5Gbps, รองรับ Users 300 Concurrent จ่ายไฟ POE 802.3af/at 60W
</t>
    </r>
    <r>
      <rPr>
        <rFont val="Arial"/>
        <b/>
        <color theme="1"/>
        <sz val="10.0"/>
      </rPr>
      <t>Reyee RG-EG305GH-P-E Cloud Managed Router รองรับ Loadbalance 3 WAN, IPSec VPN/ L2TP with IPSecs/ PPTP, รองรับ Internet Throughput 1.5Gbps, Users 300 Concurrent</t>
    </r>
    <r>
      <rPr>
        <rFont val="Arial"/>
        <color theme="1"/>
        <sz val="10.0"/>
      </rPr>
      <t>•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Balance และ Fail Over
• รองรับ Internet ความเร็วสูงสุด 1.5Gbps
• จ่ายไฟ POE มาตรฐาน 802.3af/at กำลังไฟสูงสุด 60W
• รองรับการเชื่อมต่อได้ถึง 300Device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รองรับการ Block Bittorrent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r>
  </si>
  <si>
    <t>Router : TypeCloud Managed Multi-WAN VPN Router
Multi-WAN : SupportLoad Balance &amp; Failover, SD-WAN
Throughput : สูงสุด (Max Throughput)Up to 1.5Gbps
จำนวนผู้ใช้งานที่แนะนำ (Recommended Users) : 300 Users
WAN Ports : 4 WAN (5x Gigabit)
LAN Ports : 4 LAN (5x Gigabit)
Port Speed : Gigabit Ethernet (10/100/1000)
VPN Support : IPSec / OpenVPN / WireGuard 
การบริหารจัดการ (Management) : Cloud Managed / Controller / Web Managed
VPN Throughput : 230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</si>
  <si>
    <t>RG-EG210G-P-V3</t>
  </si>
  <si>
    <t>RG-EG210G-P-V3 Reyee Cloud Router 2 WAN, POE 110W</t>
  </si>
  <si>
    <t>https://eo-sgp-cos.ruijie.com/background/other/2024-04-08/0c7030d2f7fd4a69a6c65be88da3bada.png</t>
  </si>
  <si>
    <t>https://eo-sgp-cos.ruijie.com/background/other/2024-04-08/2c769df569174a1e8463ae8d904a6fb9.png</t>
  </si>
  <si>
    <t>https://eo-sgp-cos.ruijie.com/background/other/2024-04-08/69d7084e0f9c4916b375616d934d0d6e.png</t>
  </si>
  <si>
    <t>Reyee RG-EG210G-P-V3 Cloud Managed Router 2 WAN (เพิ่มได้สูงสุด 4WAN) , IPSec VPN 8 Tunnels, รองรับ Internet Throughput 600Mbps, รองรับ Users ได้ 200 Concurrent, พร้อม POE Switch Gigabit 8 Port 110W
RG-EG210G-P-V3 Reyee by Ruijie Cloud Managed Loadbalance VPN Router จ่ายไฟ POE 802.3/af/at 110W , Loadbalance VPN Router พร้อม Port Lan 10 Port ความเร็ว Gigabit 2 WAN (Max 2WAN), 8 Lan)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Balance และ Fail Over
• รองรับ Internet ความเร็วสูงสุด 1Gbps
• รองรับการเชื่อมต่อได้ถึง 200Device
• รองรับการทำ VPN แบบ Site To Site ได้ 8Tunnels
• รองรับการทำ VPN แบบ Client To Site ได้ 8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รองรับการ Block Bittorrent
• จ่ายไฟ POE มาตรฐาน 802.3af/at 8 Port สูงสุด 110"
• รองรับการจำกัดความเร็ว Bandwidth Management By IP, Network
• รองรับการทำ VLAN 802.1Q จำนวน 32VLAN
• รองรับการทำ ACL (Access Control List) เช่น Block ระหว่าง VLAN ไม่ให้เชื่อมต่อหากันได้
• รองรับ Dynamic DNS NO-IP</t>
  </si>
  <si>
    <t>Router : TypeCloud Managed Multi-WAN VPN Router
Multi-WAN : SupportLoad Balance &amp; Failover
Throughput สูงสุด (Max Throughput) : Up to 600Mbps
จำนวนผู้ใช้งานที่แนะนำ (Recommended Users) : 200 Users
WAN Ports : 4 WAN (4x Gigabit)
LAN Ports : 10 LAN (10x Gigabit)
Port Speed : Gigabit Ethernet (10/100/1000)
VPN Support : IPSec / OpenVPN / WireGuard 
การบริหารจัดการ (Management) : Cloud Managed / Controller / Web Managed
VPN Throughput : 28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</si>
  <si>
    <t>RG-EG105G-V3</t>
  </si>
  <si>
    <t>RG-EG105G-V3 Reyee Cloud Managed Router 2 Wan, VPN, Ruijie Cloud</t>
  </si>
  <si>
    <t>https://eo-sgp-cos.ruijie.com/background/other/2024-08-01/4b6744e37af847ae96a67cb1d80a78d5.png</t>
  </si>
  <si>
    <t>https://eo-sgp-cos.ruijie.com/background/other/2024-08-01/f8ebcfe6bb8f4858887acb645f1a9f5e.png</t>
  </si>
  <si>
    <t>https://eo-sgp-cos.ruijie.com/background/other/2024-04-08/520e2284a2c74b028c861b66579c935a.png</t>
  </si>
  <si>
    <t>Reyee RG-EG105G-V3 Cloud Managed Router 2 Wan, 4 Port Gigabit รองรับ 100 Concurrent users, Throughput 600Mbps, VPN, ทำ Captive Portal, Ruijie Cloud
Reyee RG-EG105G-V3 Cloud Managed Router 2 Wan, 4 Port Gigabit รองรับ 100 Concurrent users, Throughput 600Mbps, IPSec VPN 8 Tunnels, ทำ Captive Portal
รองรับการ Managed และ Monitor by Ruijie Cloud มาพร้อม Cloud License ตลอดชีพ
** ข้อแตกต่างระหว่าง RG-EG105G V2 และ V3
V3 จะเพิ่ม Flash Memory เป็น 32MB และรองรับ Internet ได้ 1Gbps (Turbo Mode)
ประกัน 5 ปี</t>
  </si>
  <si>
    <t xml:space="preserve">Router : TypeCloud Managed Multi-WAN VPN Router
Multi-WAN : SupportLoad Balance &amp; Failover
Fixed ports : 5 Port 10/100/1000M Base-T, Supporting up to 2 WAN ports (Default: 1 WAN port, 4 LAN ports LAN3 can be switched to WAN1 port)
</t>
  </si>
  <si>
    <t>RG-ES220GS-LP</t>
  </si>
  <si>
    <t>RG-ES220GS-LP Reyee Cloud Managed Smart POE Switch 18 Port Gigabit, 16 Port POE 130W</t>
  </si>
  <si>
    <t>https://eo-sgp-cos.ruijie.com/background/other/2025-05-14/Frame%201-20250514-175929.png</t>
  </si>
  <si>
    <t>https://eo-sgp-cos.ruijie.com/background/other/2025-05-14/Frame%202-20250514-175929.png</t>
  </si>
  <si>
    <t>https://eo-sgp-cos.ruijie.com/background/other/2025-05-14/Frame%203-20250514-175929.png</t>
  </si>
  <si>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</si>
  <si>
    <t xml:space="preserve">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
</t>
  </si>
  <si>
    <t>Cloud Managed Smart Switch</t>
  </si>
  <si>
    <t>RG-ES228GS-LP</t>
  </si>
  <si>
    <t>RG-ES228GS-LP Reyee Cloud Managed Smart POE Switch 26 Port Gigabit, 24 Port POE 250W</t>
  </si>
  <si>
    <t>https://eo-sgp-cos.ruijie.com/background/other/2025-05-15/Frame%201-20250515-092641.png</t>
  </si>
  <si>
    <t>https://eo-sgp-cos.ruijie.com/background/other/2025-05-15/Frame%204-20250515-092641.png</t>
  </si>
  <si>
    <t>https://eo-sgp-cos.ruijie.com/background/other/2025-05-15/Frame%202-20250515-092641.png</t>
  </si>
  <si>
    <t>Reyee RG-ES228GS-LP Cloud Managed Smart Switch 26 Port Gigabit, 2 Port SFP, จ่ายไฟ POE 24 Port มาตรฐาน 802.3af/at กำลังไฟสูงสุด 250W บริหารจัดการผ่าน Ruijie Cloud
RG-ES228GS-LP Reyee Cloud Managed Smart POE Switch สำหรับงาน IP Camera, WIFI Hotspot
L2-Managed Gigabit POE Switch 28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24 Port รวมกำลังไฟสูงสุด 250W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จะเป็น SFP Port ครับ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</si>
  <si>
    <t>ประเภทสวิตช์ (Switch Type) : L2 Managed PoE Switch
รูปแบบการติดตั้ง (Installation) : Rackmount
จำนวนพอร์ต LAN (LAN Ports) : 26 Ports
ความเร็วพอร์ต LAN (Port Speed) : Gigabit (10/100/1000)
รองรับ PoE (PoE Support) : PoE+ (802.3af/at)
จำนวนพอร์ต PoE (PoE Ports) : 24 Ports
พลังงาน PoE สูงสุด (PoE Budget) : 250W
Uplink Ports : None
Switch Layer Features : VLAN 802.1q, Loop Prevention
การบริหารจัดการ (Management) : Cloud Managed / Controller / Web Managed
การรับประกัน (Warranty) : รับประกันศูนย์ประเทศไทย 3 ปี</t>
  </si>
  <si>
    <t>RG-ES206MG-P</t>
  </si>
  <si>
    <t>RG-ES206MG-P Reyee Cloud Managed POE Switch 5 Port 2.5G, 1SFP+, POE 70W</t>
  </si>
  <si>
    <t>https://eo-sgp-cos.ruijie.com/background/other/2025-06-17/Frame%203-20250617-163627.png</t>
  </si>
  <si>
    <t>https://eo-sgp-cos.ruijie.com/background/other/2025-06-17/Frame%201-20250617-163654.png</t>
  </si>
  <si>
    <t>https://eo-sgp-cos.ruijie.com/background/other/2025-06-17/Frame%204-20250617-163638.png</t>
  </si>
  <si>
    <t>Reyee RG-ES206MG-P Cloud Managed Smart Switch 5 Port Multi-Gig 1/2.5Gbps, จ่ายไฟ POE 5 Port มาตรฐาน 802.3af/at สูงสุด 70W, 1 Port SFP+, บริหารจัดการผ่าน Ruijie Cloud ฟรีตลอดชีพ
RG-ES206MG-P Cloud Managed Smart Switch
L2 Managed Multi-Gigabit POE Switch 5-Port ความเร็ว 1/2.5Gbps, สามารถจ่ายไฟ POE มาตรฐาน 802.3af/at (15.4W/30W) ได้ 5 Port รวมกำลังไฟสูงสุด 70W
พร้อม Port Uplink SFP+ 1 Port ความเร็ว 10Gbps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</si>
  <si>
    <t>ประเภทสวิตช์ (Switch Type) : L2 Managed PoE Switch
รูปแบบการติดตั้ง (Installation) : Desktop
จำนวนพอร์ต LAN (LAN Ports) : 5 Ports
ความเร็วพอร์ต LAN (Port Speed) : Multi-Gig 2.5G (10/100/1000/2.5G)
รองรับ PoE (PoE Support) : PoE+ (802.3af/at)
จำนวนพอร์ต PoE (PoE Ports) : 5 Ports
พลังงาน PoE สูงสุด (PoE Budget) : 70W
Uplink Ports : 1x SFP+None
Switch Layer Features : VLAN 802.1q, Loop Prevention
การบริหารจัดการ (Management) : Cloud Managed / Controller / Web Managed
การรับประกัน (Warranty) : รับประกันศูนย์ประเทศไทย 3 ปี</t>
  </si>
  <si>
    <t xml:space="preserve">RG-ES209MG-P </t>
  </si>
  <si>
    <t>RG-ES209MG-P Reyee Cloud Managed POE Switch 8 Port 2.5G, 1SFP+, POE 130W</t>
  </si>
  <si>
    <t>https://eo-sgp-cos.ruijie.com/background/other/2025-06-17/Frame%201-20250617-164754.png</t>
  </si>
  <si>
    <t>https://eo-sgp-cos.ruijie.com/background/other/2025-06-17/Frame%202-20250617-164754.png</t>
  </si>
  <si>
    <t>https://eo-sgp-cos.ruijie.com/background/other/2025-06-17/Frame%203-20250617-164754.png</t>
  </si>
  <si>
    <t xml:space="preserve">RG-ES209MG-P Reyee Cloud Managed Smart Switch 8 Port Multi-Gig 1/2.5Gbps, จ่ายไฟ POE 8 Port มาตรฐาน 802.3af/at สูงสุด 130W, 1 Port SFP+, บริหารจัดการผ่าน Ruijie Cloud ฟรีตลอดชีพ
RG-ES209MG-P Cloud Managed Smart Switch
L2 Managed Multi-Gigabit POE Switch 8Port ความเร็ว 1/2.5Gbps, สามารถจ่ายไฟ POE มาตรฐาน 802.3af/at (15.4W/30W) ได้ 8 Port รวมกำลังไฟสูงสุด 130W พร้อม Port Uplink SFP+ 1 Port ความเร็ว 10Gbps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
</t>
  </si>
  <si>
    <t xml:space="preserve">ประเภทสวิตช์ (Switch Type) : L2 Managed PoE Switch
รูปแบบการติดตั้ง (Installation) : Desktop
จำนวนพอร์ต LAN (LAN Ports) : 8 Ports
ความเร็วพอร์ต LAN (Port Speed) : Multi-Gig 2.5G (10/100/1000/2.5G)
รองรับ PoE (PoE Support) : PoE+ (802.3af/at)
จำนวนพอร์ต PoE (PoE Ports) : 8 Ports
พลังงาน PoE สูงสุด (PoE Budget) :1 30W
Uplink Ports : 1x SFP+
Switch Layer Features : VLAN 802.1q, Loop Prevention
การบริหารจัดการ (Management) : Cloud Managed / Controller / Web Managed
การรับประกัน (Warranty) : รับประกันศูนย์ประเทศไทย 3 ปี
</t>
  </si>
  <si>
    <t>RG-ES205GC</t>
  </si>
  <si>
    <t>RG-ES205GC Reyee Cloud Managed Smart Switch 5 Port Gigabit</t>
  </si>
  <si>
    <t>https://eo-sgp-cos.ruijie.com/FU/Upload/Product/2022/5-30/202253045764289.png</t>
  </si>
  <si>
    <t>https://eo-sgp-cos.ruijie.com/FU/Upload/Product/2022/5-30/202253045623627.png</t>
  </si>
  <si>
    <t>https://eo-sgp-cos.ruijie.com/FU/Upload/Product/2022/5-30/202253045889593.png</t>
  </si>
  <si>
    <t>RG-ES205GC Reyee Cloud Managed Smart Switch for IP surveillance 5 Port Gigabit รองรับ Web-based Management ทำ VLAN, Loop Detection, Managed ผ่าน Ruijie Cloud Controller
Reyee RG-ES205GC Cloud Managed Smart Switch for IP surveillance 5 Port Gigabit
รองรับ Web-based Management ทำ VLAN ได้ 16VLAN, Loop Detection
รองรับการ Managed และ Monitor ผ่าน Ruijie Cloud Controller (Cloud License ฟรีตลอดชีพ)</t>
  </si>
  <si>
    <t>ประเภทสวิตช์ (Switch Type) : L2 Managed Switch
รูปแบบการติดตั้ง (Installation) : Desktop
จำนวนพอร์ต LAN (LAN Ports) : 5 Ports
ความเร็วพอร์ต LAN (Port Speed) : Gigabit (10/100/1000)
พลังงาน PoE สูงสุด (PoE Budget) : None
Uplink Ports : None
Switch Layer Features : VLAN 802.1q, Loop Prevention
การบริหารจัดการ (Management) : Cloud Managed / Controller / Web Managed
การรับประกัน (Warranty) : รับประกันศูนย์ประเทศไทย 3 ปี</t>
  </si>
  <si>
    <t>RG-ES205GC-P</t>
  </si>
  <si>
    <t>RG-ES205GC-P Reyee Cloud Managed Smart POE Switch 5 Port Gigabit, 4 Port POE 54W</t>
  </si>
  <si>
    <t>https://eo-sgp-cos.ruijie.com/FU/Upload/Product/2022/5-30/20225304963997.png</t>
  </si>
  <si>
    <t>https://eo-sgp-cos.ruijie.com/FU/Upload/Product/2022/5-10/202251015197717.png</t>
  </si>
  <si>
    <t>https://eo-sgp-cos.ruijie.com/FU/Upload/Product/2022/5-30/202253049779237.png</t>
  </si>
  <si>
    <t>RG-ES205GC-P  Reyee Cloud Managed Smart POE Switch 5 Port Gigabit, จ่ายไฟ POE 4 Port 802.3af/at กำลังไฟสูงสุด 54W รองรับ Web-based Management ทำ VLAN, Remote POE Reboot, Loop Detection, Managed ผ่าน Ruijie Cloud Controller
Reyee by Ruijie RG-ES205GC-P Cloud Managed Smart Switch สำหรับงานกล้อง IP Camera, WIFI Hotspot
L2-Managed Gigabit POE Switch 5 Port ความเร็ว Gigabit, สามารถจ่ายไฟ POE มาตรฐาน 802.3af/at (15.4W/30W) ได้ 4 Port รวมกำลังไฟสูงสุด 54W เฉลี่ยต่อ Port 13.5W
*** แนะนำ กรณีกล้องพวก Speed Dome หรือ Access Point ประเภท 3x3, 4x4 ที่ใช้กำลังไฟสูงๆ (เกิน 15.4W) ต้องคำนวนให้ดีครับ หรือ ส่ง Spec อุปกรณ์ให้ทางร้านคำนวนให้ได้เลยครับ
     หรือถ้าใช้กับ Access Point ที่เป็น WIFI 6 ถ้าติดตั้งหลายๆตัว ค่า Forwarding Rate อาจจะไม่พอ แนะนำเป็น Reyee Series NBS3100 ขึ้นไปจะดีกว่าครับ
     มี Port Uplink Gigabit โดย Port นี้จะไม่มีการจ่ายไฟออกมา อีก 1 Port สำหรับเชื่อมต่อกับ Router
• รองรับการจัดการ Config รวมถึง Monitor อุปกรณ์ เช่น Status Port Up/Down, จ่ายไฟ POE, Traffic, ผ่าน Ruijie Cloud ทั้งบน Browser และ App ติดตั้งใน Smartphone
• Ruijie Cloud License ฟรี ตลอดชีพ
• รองรับ VLAN 802.1q ได้สูงสุด 16VLAN
• รองรับ Remote Rebbot POE
• รองรับ Real-Time Alarm</t>
  </si>
  <si>
    <t>ประเภทสวิตช์ (Switch Type) : L2 Managed PoE Switch
รูปแบบการติดตั้ง (Installation) : Desktop
จำนวนพอร์ต LAN (LAN Ports) : 5 Ports
ความเร็วพอร์ต LAN (Port Speed) : Gigabit (10/100/1000)
รองรับ PoE (PoE Support) : PoE (802.3af)
จำนวนพอร์ต PoE (PoE Ports) : 4 Ports
พลังงาน PoE สูงสุด (PoE Budget) : 54W
Uplink Ports : 1x Gigabit Ethernet None
Switch Layer Features : VLAN 802.1q, Loop Prevention
การบริหารจัดการ (Management) : Cloud Managed / Controller / Web Managed
การรับประกัน (Warranty) : รับประกันศูนย์ประเทศไทย 3 ปี</t>
  </si>
  <si>
    <t xml:space="preserve">RG-ES206GS-P </t>
  </si>
  <si>
    <t>RG-ES206GS-P Reyee Cloud Managed POE Switch 6 Port Gigabit, 4 Port POE, 1SFP 54W</t>
  </si>
  <si>
    <t>https://eo-sgp-cos.ruijie.com/background/other/2023-08-16/75b3a6fe28f24e829ac863e3b710eb78.png</t>
  </si>
  <si>
    <t>https://eo-sgp-cos.ruijie.com/background/other/2023-08-16/b79f9c6b1fd542aea7d199d9f68065f9.png</t>
  </si>
  <si>
    <t>https://eo-sgp-cos.ruijie.com/background/other/2023-08-16/b8cf573fa17248b1a1bd7b025cc86add.png</t>
  </si>
  <si>
    <t>RG-ES206GS-P Reyee Cloud Managed Smart Switch for IP surveillance 6 Port Gigabit, จ่ายไฟ POE 4 Port มาตรฐาน 802.3af/at กำลังไฟสูงสุด 54W, 1 Port SFP, รองรับการบริหารจัดการผ่าน Ruijie Cloud
Reyee RG-ES206GS-P Cloud Managed Smart Switch เหมาะสำหรับงาน IP Camera
L2 Managed Gigabit POE Switch 6 Port ความเร็ว Gigabit, สามารถจ่ายไฟ POE มาตรฐาน 802.3af/at (15.4W/30W) ได้ 4 Port รวมกำลังไฟสูงสุด 54W
*** แนะนำ กรณีกล้องพวก Speed Dome หรือ Access Point ประเภท 3x3, 4x4 ที่ใช้กำลังไฟสูงๆ (เกิน 15.4W) ต้องคำนวนให้ดีครับ หรือ ส่ง Spec อุปกรณ์ให้ทางร้านคำนวนให้ได้เลยครับ
    มี Port Uplink Gigabit อีก 2 Port สำหรับเชื่อมต่อกับ Router หรือ Uplink ไปยัง Switch และ Port SFP Combo 1 Port สำหรับใช้ร่วมกับสาย Fiber Optice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</si>
  <si>
    <t>ประเภทสวิตช์ (Switch Type) : L2 Managed PoE Switch
รูปแบบการติดตั้ง (Installation) : Desktop
จำนวนพอร์ต LAN (LAN Ports) : 6 Ports
ความเร็วพอร์ต LAN (Port Speed) : Gigabit (10/100/1000)
รองรับ PoE (PoE Support) : PoE (802.3af)
จำนวนพอร์ต PoE (PoE Ports) : 4 Ports
พลังงาน PoE สูงสุด (PoE Budget) : 54W
Uplink Ports : 1x SFP
Switch Layer Features : VLAN 802.1q, Loop Prevention
การบริหารจัดการ (Management) : Cloud Managed / Controller / Web Managed
การรับประกัน (Warranty) : รับประกันศูนย์ประเทศไทย 3 ปี</t>
  </si>
  <si>
    <t xml:space="preserve">RG-ES206GC-P </t>
  </si>
  <si>
    <t>RG-ES206GC-P Reyee Cloud Managed Smart POE Switch 6 Port Gigabit, 4 Port POE 54W</t>
  </si>
  <si>
    <t>https://eo-sgp-cos.ruijie.com/FU/Upload/Product/2022/5-10/20225102532299.png</t>
  </si>
  <si>
    <t>https://eo-sgp-cos.ruijie.com/FU/Upload/Product/2022/5-10/202251025806842.png</t>
  </si>
  <si>
    <t>https://eo-sgp-cos.ruijie.com/FU/Upload/Product/2022/5-10/202251025306435.png</t>
  </si>
  <si>
    <t>RG-ES206GC-P  Reyee Cloud Managed Smart Switch 6 Port Gigabit จ่ายไฟ POE 4 Port 802.3af/at สูงสุด 54W Uplink 2 Port รองรับ Web-based Management ทำ VLAN, Remote POE Reboot, Loop Detection, Managed ผ่าน Ruijie Cloud Controller
Reyee by Ruijie RG-ES206GC-P Cloud Managed Smart Switch สำหรับงานกล้อง IP Camera, WIFI Hotspot
L2 Managed Gigabit POE Switch 24 Port ความเร็ว Gigabit, และ Port SFP สำหรับใส่ SFP Module เพื่อเชื่อมต่อผ่าน Fiber Optic 2 Port, สามารถจ่ายไฟ POE มาตรฐาน 802.3af/at (15.4W/30W) ได้ 4 Port รวมกำลังไฟสูงสุด 54W เฉลี่ยต่อ Port 13.5W
*** แนะนำ กรณีกล้องพวก Speed Dome หรือ Access Point ประเภท 3x3, 4x4 ที่ใช้กำลังไฟสูงๆ (เกิน 15.4W) ต้องคำนวนให้ดีครับ หรือ ส่ง Spec อุปกรณ์ให้ทางร้านคำนวนให้ได้เลยครับ หรือถ้าใช้กับ Access Point ที่เป็น WIFI 6 ถ้าติดตั้งหลายๆตัว ค่า Forwarding Rate อาจจะไม่พอ แนะนำเป็น Reyee Series NBS3100 ขึ้นไปจะดีกว่าครับ
• รุ่นนี้ Port Uplink เป็น Port LAN RJ45 x 2Port Gigabit ถ้าใช้ร่วมกับกล้อง IP Camera ก็จะใช้ Port ต่อเข้า NVR และ ต่อเข้า Router ได้เลย
• รองรับการจัดการ Config รวมถึง Monitor อุปกรณ์ เช่น Status Port Up/Down, จ่ายไฟ POE, Traffic, ผ่าน Ruijie Cloud ทั้งบน Browser และ App ติดตั้งใน Smartphone
• Ruijie Cloud License ฟรี ตลอดชีพ
• รองรับ VLAN 802.1q ได้สูงสุด 16VLAN
• รองรับ Remote Rebbot POE
• รองรับ Real-Time Alarm</t>
  </si>
  <si>
    <t>ประเภทสวิตช์ (Switch Type) : L2 Managed PoE Switch
รูปแบบการติดตั้ง (Installation) : Desktop
จำนวนพอร์ต LAN (LAN Ports) : 6 Ports
ความเร็วพอร์ต LAN (Port Speed) : Gigabit (10/100/1000)
รองรับ PoE (PoE Support) : PoE (802.3af)
จำนวนพอร์ต PoE (PoE Ports) : 4 Ports
พลังงาน PoE สูงสุด (PoE Budget) : 54W
Uplink Ports : 2x Gigabit Ethernet
Switch Layer Features : VLAN 802.1q, Loop Prevention
การบริหารจัดการ (Management) : Cloud Managed / Controller / Web Managed
การรับประกัน (Warranty) : รับประกันศูนย์ประเทศไทย 3 ปี</t>
  </si>
  <si>
    <t>RG-ES208GC</t>
  </si>
  <si>
    <t>RG-ES208GC Reyee Cloud Managed Smart Switch 8 Port Gigabit</t>
  </si>
  <si>
    <t>https://eo-sgp-cos.ruijie.com/FU/Upload/Product/2022/5-10/202251027197748.png</t>
  </si>
  <si>
    <t>https://eo-sgp-cos.ruijie.com/FU/Upload/Product/2022/5-10/2022510279465.png</t>
  </si>
  <si>
    <t xml:space="preserve">Reyee RG-ES208GC Cloud Managed Smart Switch 8 Port Gigabit รองรับ Web-based Management ทำ VLAN, Loop Detection, Managed ผ่าน Ruijie Cloud Controller , for IP surveillance  
</t>
  </si>
  <si>
    <t>ประเภทสวิตช์ (Switch Type) : L2 Managed PoE Switch
รูปแบบการติดตั้ง (Installation) : Desktop
จำนวนพอร์ต LAN (LAN Ports) : 8 Ports
ความเร็วพอร์ต LAN (Port Speed) : Gigabit (10/100/1000)
รองรับ PoE (PoE Support) : None
จำนวนพอร์ต PoE (PoE Ports) : None
พลังงาน PoE สูงสุด (PoE Budget) : None
Uplink Ports :  None
Switch Layer Features : VLAN 802.1q, Loop Prevention
การบริหารจัดการ (Management) : Cloud Managed / Controller / Web Managed
การรับประกัน (Warranty) : รับประกันศูนย์ประเทศไทย 3 ปี</t>
  </si>
  <si>
    <t>RG-ES209GC-P</t>
  </si>
  <si>
    <t>RG-ES209GC-P Reyee Cloud Managed Smart POE Switch 9 Port Gigabit, 8 Port POE 120W</t>
  </si>
  <si>
    <t>https://eo-sgp-cos.ruijie.com/FU/Upload/Product/2022/5-10/202251027525239.png</t>
  </si>
  <si>
    <t>https://eo-sgp-cos.ruijie.com/FU/Upload/Product/2022/5-10/202251027744195.png</t>
  </si>
  <si>
    <t>https://eo-sgp-cos.ruijie.com/FU/Upload/Product/2022/5-10/202251027603351.png</t>
  </si>
  <si>
    <t>RG-ES209GC-P Reyee Cloud Managed Smart POE Switch 9 Port Gigabit, จ่ายไฟ POE 8 Port 802.3at/af จ่ายไฟสูงสุด 120W รองรับ, VLAN, Remote POE Reboot, Loop Detection, Managed ผ่าน Ruijie Cloud Controller
Reyee RG-ES209GC-P Cloud Managed Smart Switch เหมาะสำหรับงาน IP Camera, WIFI Hotspot
L2 Managed Gigabit POE Switch 9 Port ความเร็ว Gigabit, สามารถจ่ายไฟ POE มาตรฐาน 802.3af/at (15.4W/30W) ได้ 8 Port รวมกำลังไฟสูงสุด 120W เฉลี่ยต่อ Port 15W
*** แนะนำ กรณีกล้องพวก Speed Dome หรือ Access Point ประเภท 3x3, 4x4 ที่ใช้กำลังไฟสูงๆ (เกิน 15.4W) ต้องคำนวนให้ดีครับ หรือ ส่ง Spec อุปกรณ์ให้ทางร้านคำนวนให้ได้เลยครับ
หรือ
ถ้าใช้กับ Access Point ที่เป็น WIFI 6 มีการติดตั้งหลายๆตัว ค่า Forwarding Rate ของ Switch อาจจะไม่พอ แนะนำเป็น Reyee Series NBS3100 ขึ้นไปจะดีกว่าครับ
มี Port Uplink Gigabit อีก 1 Port สำหรับเชื่อมต่อกับ Router หรือ Uplink ไปยัง Switch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</si>
  <si>
    <t>ประเภทสวิตช์ (Switch Type) : L2 Managed PoE Switch
รูปแบบการติดตั้ง (Installation) : Desktop
จำนวนพอร์ต LAN (LAN Ports) : 9 Ports
ความเร็วพอร์ต LAN (Port Speed) : Gigabit (10/100/1000)
รองรับ PoE (PoE Support) : PoE (802.3af)
จำนวนพอร์ต PoE (PoE Ports) : 8
พลังงาน PoE สูงสุด (PoE Budget) : 120W
Uplink Ports :  1x Gigabit Ethernet
Switch Layer Features : VLAN 802.1q, Loop Prevention
การบริหารจัดการ (Management) : Cloud Managed / Controller / Web Managed
การรับประกัน (Warranty) : รับประกันศูนย์ประเทศไทย 3 ปี</t>
  </si>
  <si>
    <t xml:space="preserve">RG-ES210GC-LP </t>
  </si>
  <si>
    <t>RG-ES210GC-LP Reyee Cloud Managed Smart POE Switch 10 Port Gigabit, 8 Port POE 70W</t>
  </si>
  <si>
    <t>https://eo-sgp-cos.ruijie.com/FU/Upload/Product/2022/5-10/202251029275197.png</t>
  </si>
  <si>
    <t>https://eo-sgp-cos.ruijie.com/FU/Upload/Product/2022/5-10/202251029853190.png</t>
  </si>
  <si>
    <t>https://eo-sgp-cos.ruijie.com/FU/Upload/Product/2022/5-10/202251029916300.png</t>
  </si>
  <si>
    <t>RG-ES210GC-LP Reyee Cloud Managed Smart Switch for IP surveillance 10 Port Gigabit, จ่ายไฟ POE 8 Port  802.3af/at 70W, Uplink 2 Port รองรับ  VLAN, Remote POE Reboot, Loop Detection, Managed ผ่าน Ruijie Cloud Controller
Reyee RG-ES210GC-LP Cloud Managed Smart Switch IP Camera, WIFI Hotspot
L2 Managed Gigabit POE Switch 10 Port ความเร็ว Gigabit สามารถจ่ายไฟ POE มาตรฐาน 802.3af/at (15.4W/30W) ได้ 8 Port รวมกำลังไฟสูงสุด 70W เฉลี่ยต่อ Port 8.7W
 *** ไม่แนะนำใช้กับ Access Point ที่เป็น WIFI 6 ประเภท 4x4  หรือกล้องพวก Speed dome ครับ พวกนี้ใช้กำลังไฟสูงมาก แนะนำใช้ร่วมกับกล้อง IP Camera ที่เป็นแบบ Fix เพราะอุปกรณ์พวกนี้ใช้ไฟน้อยประมาณ 5-6W หรือให้ทางร้านคำนวนให้ได้เลยครับ และถ้าใช้กับ Access Point ที่เป็น     WIFI 6 ถ้าติดตั้งหลายๆตัว ค่า Forwarding Rate อาจจะไม่พอ แนะนำเป็น Reyee Series NBS3100 ขึ้นไปจะดีกว่าครับ
รุ่นนี้ Port Uplink เป็น Port LAN RJ45 x 2Port Gigabit ถ้าใช้ร่วมกับกล้อง IP Camera ก็จะใช้ Port ต่อเข้า NVR และ ต่อเข้า Router ได้เลย
• รองรับการจัดการ Config รวมถึง Monitor อุปกรณ์ เช่น Status Port Up/Down, จ่ายไฟ POE, Traffic, ผ่าน Ruijie Cloud ทั้งบน Browser และ App ติดตั้งใน Smartphone
• Ruijie Cloud License ฟรี ตลอดชีพ
• รองรับ VLAN 802.1q ได้สูงสุด 16VLAN
• รองรับ Remote Rebbot POE
• รองรับ Real-Time Alarm</t>
  </si>
  <si>
    <t>ประเภทสวิตช์ (Switch Type) : L2 Managed PoE Switch
รูปแบบการติดตั้ง (Installation) : Desktop
จำนวนพอร์ต LAN (LAN Ports) : 10 Ports
ความเร็วพอร์ต LAN (Port Speed) : Gigabit (10/100/1000)
รองรับ PoE (PoE Support) : PoE (802.3af)
จำนวนพอร์ต PoE (PoE Ports) : 8
พลังงาน PoE สูงสุด (PoE Budget) : 70W
Uplink Ports :  2x Gigabit Ethernet
Switch Layer Features : VLAN 802.1q, Loop Prevention
การบริหารจัดการ (Management) : Cloud Managed / Controller / Web Managed
การรับประกัน (Warranty) : รับประกันศูนย์ประเทศไทย 3 ปี</t>
  </si>
  <si>
    <t>RG-ES210GS-P</t>
  </si>
  <si>
    <t>RG-ES210GS-P Reyee Cloud Managed POE Switch 10 Port Gigabit 120W</t>
  </si>
  <si>
    <t>https://eo-sgp-cos.ruijie.com/background/other/2023-08-16/439f2a83f8fe43ce8165a2ed4c6ce29f.png</t>
  </si>
  <si>
    <t>https://eo-sgp-cos.ruijie.com/background/other/2023-08-16/a6d2641674da4e1399fea739a2a2af8a.png</t>
  </si>
  <si>
    <t>https://eo-sgp-cos.ruijie.com/background/other/2023-08-16/271a225b8d6f417ba4c8b6f46bef4d80.png</t>
  </si>
  <si>
    <t>RG-ES210GS-P Reyee Cloud Managed Smart POE Switch 10 Port Gigabit สำหรับงาน CCTV IP surveillance, จ่ายไฟ POE 8 Port 802.3af/at สูงสุด 120W, 1 Port SFP, บริหารจัดการผ่าน Ruijie Cloud
POE Switch RG-ES210GS-P Reyee Cloud Managed Smart Switch
L2 Managed Gigabit POE Switch 10 Port ความเร็ว Gigabit, สามารถจ่ายไฟ POE มาตรฐาน 802.3af/at (15.4W/30W) ได้ 8 Port รวมกำลังไฟสูงสุด 120W เหมาะสำหรับงาน CCTV IP Camera
มี Port Uplink Gigabit อีก 2 Port สำหรับเชื่อมต่อ Uplink กับ Router/ Network Switch หรือ เชื่อมต่อ ไปยัง NVR และ Port SFP Combo 1 Port สำหรับใช้ร่วมกับสาย Fiber Optic เพื่อเดินสายสัญญาณให้ได้ระยะไกลมากยิ่งขึ้น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</si>
  <si>
    <t>ประเภทสวิตช์ (Switch Type) : L2 Managed PoE Switch
รูปแบบการติดตั้ง (Installation) : Desktop
จำนวนพอร์ต LAN (LAN Ports) : 10 Ports
ความเร็วพอร์ต LAN (Port Speed) : Gigabit (10/100/1000)
รองรับ PoE (PoE Support) : PoE (802.3af)
จำนวนพอร์ต PoE (PoE Ports) : 8
พลังงาน PoE สูงสุด (PoE Budget) : 120W
Uplink Ports :  2x Gigabit Ethernet + 1 x SFP Combo
Switch Layer Features : VLAN 802.1q, Loop Prevention
การบริหารจัดการ (Management) : Cloud Managed / Controller / Web Managed
การรับประกัน (Warranty) : รับประกันศูนย์ประเทศไทย 3 ปี</t>
  </si>
  <si>
    <t>RG-ES216GC-V2</t>
  </si>
  <si>
    <t>RG-ES216GC-V2 Reyee Cloud Managed Smart Switch 16 Port Gigabit</t>
  </si>
  <si>
    <t xml:space="preserve">RG-ES216GC-V2 </t>
  </si>
  <si>
    <t>https://eo-sgp-cos.ruijie.com/background/other/2023-10-23/5f405279d054444381c5e565e37e6a3c.png</t>
  </si>
  <si>
    <t>https://eo-sgp-cos.ruijie.com/background/other/2023-10-23/5fcd4108ef05436fbd0020495882f27f.png</t>
  </si>
  <si>
    <t>https://eo-sgp-cos.ruijie.com/background/other/2023-10-23/c1eb1bc613cd4052b9243ceb5492ebff.png</t>
  </si>
  <si>
    <t xml:space="preserve">Reyee RG-ES216GC-V2 Cloud Managed Smart Switch for IP surveillance 16 Port Gigabit บริหารจัดการผ่าน Ruijie Cloud
</t>
  </si>
  <si>
    <t>ประเภทสวิตช์ (Switch Type) : L2 Managed PoE Switch
รูปแบบการติดตั้ง (Installation) : Rackmount
จำนวนพอร์ต LAN (LAN Ports) : 16 Ports
ความเร็วพอร์ต LAN (Port Speed) : Gigabit (10/100/1000)
รองรับ PoE (PoE Support) : None
จำนวนพอร์ต PoE (PoE Ports) : None
พลังงาน PoE สูงสุด (PoE Budget) : None
Uplink Ports : None
Switch Layer Features : VLAN 802.1q, Loop Prevention
การบริหารจัดการ (Management) : Cloud Managed / Controller / Web Managed
การรับประกัน (Warranty) : รับประกันศูนย์ประเทศไทย 3 ปี</t>
  </si>
  <si>
    <t>RG-ES220GS-P</t>
  </si>
  <si>
    <t>RG-ES220GS-P Reyee Cloud Managed Smart POE Switch 20 Port Gigabit, 16 Port POE 250W</t>
  </si>
  <si>
    <t>https://eo-sgp-cos.ruijie.com/background/other/2024-01-05/ed8ca5c947234a1b84dea5c94b03ba68.png</t>
  </si>
  <si>
    <t>https://eo-sgp-cos.ruijie.com/background/other/2024-01-05/bd06d31bb05b42b3abff651884a73baa.png</t>
  </si>
  <si>
    <t>https://eo-sgp-cos.ruijie.com/background/other/2024-01-05/c25ccae8b44c49af9d2dfbb35ec7c19b.png</t>
  </si>
  <si>
    <t>RG-ES220GS-P Reyee Cloud Managed Smart Switch 20 Port Gigabit, 2 Port SFP, จ่ายไฟ POE 16 Port มาตรฐาน 802.3af/at กำลังไฟสูงสุด 250W บริหารจัดการผ่าน Ruijie Cloud
Reyee RG-ES220GS-P Cloud Managed Smart POE Switch สำหรับงาน IP Camera, WIFI Hotspot
L2-Managed Gigabit POE Switch 20 Port ความเร็ว Gigabit มาพร้อม Port SFP สำหรับใส่ SFP Module x 2 เพื่อเชื่อมต่อผ่านสาย Fiber Optic 2 Port ให้ได้ระยะที่ไกลกว่าสาย UTP
สามารถจ่ายไฟ POE มาตรฐาน 802.3af/at (15.4W/30W) ได้ 16 Port รวมกำลังไฟสูงสุด 250W เฉลี่ยต่อ Port 15W
*** แนะนำ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กรณีใช้กับ Access Point ที่เป็น WIFI 6 ถ้าติดตั้งหลายๆตัว ค่า Forwarding Rate อาจจะไม่พอ แนะนำเป็น Reyee Series NBS3100 ขึ้นไปจะดีกว่าครับ 
รุ่นนี้ Port Uplink จะเป็น SFP Port ครับ ส่วน Port LAN RJ45 จ่ายไฟ POE 16 Port อีก 2 Port สามารถต่อ Uplink เข้ากับ Router หรือ Core Switch กรณีใช้กับระบบ CCTV สามารถต่อเข้ากับ NVR ได้เลย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</si>
  <si>
    <t>ประเภทสวิตช์ (Switch Type) : L2 Managed PoE Switch
รูปแบบการติดตั้ง (Installation) : Rackmount
จำนวนพอร์ต LAN (LAN Ports) : 20 Ports
ความเร็วพอร์ต LAN (Port Speed) : Gigabit (10/100/1000)
รองรับ PoE (PoE Support) : PoE+ (802.3af/at)
จำนวนพอร์ต PoE (PoE Ports) : 16
พลังงาน PoE สูงสุด (PoE Budget) : 250W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</si>
  <si>
    <t>RG-ES224GC-V2</t>
  </si>
  <si>
    <t>RG-ES224GC-V2 Reyee Cloud Managed Smart Switch 24 Port Gigabit</t>
  </si>
  <si>
    <t>https://eo-sgp-cos.ruijie.com/background/other/2023-10-13/9bc7b1f93378431c83d11c973488ff0f.png</t>
  </si>
  <si>
    <t>https://eo-sgp-cos.ruijie.com/background/other/2023-10-13/c668690d424b4e8a80379aa33b0b49d0.png</t>
  </si>
  <si>
    <t>https://eo-sgp-cos.ruijie.com/background/other/2023-10-13/94f55065dd4d4afd9a89ee74af45fc1a.png</t>
  </si>
  <si>
    <t>Reyee RG-ES224GC-V2 Cloud Managed Smart Switch for IP surveillance 24 Port Gigabit บริหารจัดการผ่าน Ruijie Cloud
รองรับการ Managed และ Monitor by Ruijie Cloud มาพร้อม Cloud License ตลอดชีพ
ICT Spec อุปกรณ์กระจายสัญญาณ (L2 Switch) ขนาด 24 ช่อง แบบที 1</t>
  </si>
  <si>
    <t>ประเภทสวิตช์ (Switch Type) : L2 Managed PoE Switch
รูปแบบการติดตั้ง (Installation) : Rackmount
จำนวนพอร์ต LAN (LAN Ports) : 24 Ports
ความเร็วพอร์ต LAN (Port Speed) : Gigabit (10/100/1000)
รองรับ PoE (PoE Support) : None
จำนวนพอร์ต PoE (PoE Ports) : None
พลังงาน PoE สูงสุด (PoE Budget) : None
Uplink Ports : None
Switch Layer Features : VLAN 802.1q, Loop Prevention
การบริหารจัดการ (Management) : Cloud Managed / Controller / Web Managed
การรับประกัน (Warranty) : รับประกันศูนย์ประเทศไทย 3 ปี</t>
  </si>
  <si>
    <t>RG-ES228GS-P</t>
  </si>
  <si>
    <t>RG-ES228GS-P Reyee Cloud Managed Smart POE Switch 28 Port Gigabit, 24 Port POE 370W</t>
  </si>
  <si>
    <t>https://eo-sgp-cos.ruijie.com/background/other/2024-01-05/738c0fbe9bfe4118b8fc9c2ee14764eb.png</t>
  </si>
  <si>
    <t>https://eo-sgp-cos.ruijie.com/background/other/2024-01-05/65cf6e6c708a44a29499931232099f11.png</t>
  </si>
  <si>
    <t>https://eo-sgp-cos.ruijie.com/background/other/2024-01-05/d3f40f850c614c3fb06c62bac33d3a62.png</t>
  </si>
  <si>
    <t>RG-ES228GS-P Reyee Cloud Managed Smart Switch 28 Port Gigabit, 2 Port SFP, จ่ายไฟ POE 24 Port มาตรฐาน 802.3af/at กำลังไฟสูงสุด 370W บริหารจัดการผ่าน Ruijie Cloud
Reyee RG-ES228GS-P Cloud Managed Smart POE Switch สำหรับงาน IP Camera, WIFI Hotspot
L2-Managed Gigabit POE Switch 28 Port ความเร็ว Gigabit มาพร้อม Port SFP สำหรับใส่ SFP Module x 2 เพื่อเชื่อมต่อผ่านสาย Fiber Optic 2 Port ให้ได้ระยะที่ไกลกว่าสาย UTP
สามารถจ่ายไฟ POE มาตรฐาน 802.3af/at (15.4W/30W) ได้ 24 Port รวมกำลังไฟสูงสุด 370W เฉลี่ยต่อ Port 15.4W
*** แนะนำ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กรณีใช้กับ Access Point ที่เป็น WIFI 6 ถ้าติดตั้งหลายๆตัว ค่า Forwarding Rate อาจจะไม่พอ แนะนำเป็น Reyee Series NBS3100 ขึ้นไปจะดีกว่าครับ
รุ่นนี้ Port Uplink จะเป็น SFP Port ครับ ส่วน Port LAN RJ45 จ่ายไฟ POE 24 Port อีก 2 Port สามารถต่อ Uplink เข้ากับ Router หรือ Core Switch กรณีใช้กับระบบ CCTV สามารถต่อเข้ากับ NVR ได้เลย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</si>
  <si>
    <t>ประเภทสวิตช์ (Switch Type) : L2 Managed PoE Switch
รูปแบบการติดตั้ง (Installation) : Rackmount
จำนวนพอร์ต LAN (LAN Ports) : 28 Ports
ความเร็วพอร์ต LAN (Port Speed) : Gigabit (10/100/1000)
รองรับ PoE (PoE Support) : PoE+ (802.3af/at)
จำนวนพอร์ต PoE (PoE Ports) : 24
พลังงาน PoE สูงสุด (PoE Budget) : 370W
Uplink Ports : 2x SFP
Switch Layer Features : VLAN 802.1q, Loop Prevention
การบริหารจัดการ (Management) : Cloud Managed / Controller / Web Managed
การรับประกัน (Warranty) : รับประกันศูนย์ประเทศไทย 3 ปี</t>
  </si>
  <si>
    <t xml:space="preserve">RG-NBS3300-8MG2XS-P </t>
  </si>
  <si>
    <t>RG-NBS3300-8MG2XS-P Reyee L2-Cloud Managed POE Muti-Gigabit Switch 8 Port 240W</t>
  </si>
  <si>
    <t>L2 Switch</t>
  </si>
  <si>
    <t>https://eo-sgp-cos.ruijie.com/background/other/2024-08-09/e9c01eb7d120495ca1e3eb1b970b9b3d.png</t>
  </si>
  <si>
    <t>https://eo-sgp-cos.ruijie.com/background/other/2024-08-09/df38a3261b2d4b6681805f9247c4e663.png</t>
  </si>
  <si>
    <t>https://eo-sgp-cos.ruijie.com/background/other/2024-08-09/8329e5abc518436da422711941c0b323.png</t>
  </si>
  <si>
    <t>Reyee RG-NBS3300-8MG2XS-P L2-Cloud Managed POE Muti-Gigabit Switch 8 Port ความเร็ว 1/2.5Gbps, จ่ายไฟ POE 802.3at สูงสุด 240W, 2 Port SFP+ รองรับการทำ VLAN, IGMP Snooping, Aggregate, บริหารจัดการผ่าน Cloud Controller
RG-NBS3300-8MG2XS-P
L2-Cloud Managed POE Muti-Gigabit Switch 8 Port ความเร็ว 1/2.5Gbps, 2 Port SFP+ ความเร็ว 10Gbps สำหรับงาน Network, WIFI Hotspot
L2-Cloud Managed Multi-Gigabit POE Switch 16Port ความเร็ว 1/2.5Gigabit สามารถจ่ายไฟ POE มาตรฐาน 802.3af/at (15.4W/30W) ได้ 8 Port รวมกำลังไฟสูงสุด 240W
•  รองรับการทำ VLAN 802.1q, IGMP Snooping, Aggregate, ACL, 802.1X, บริหารจัดการผ่าน Cloud Controller
กรณีใช้กับ Access Point ที่เป็น WIFI 7 ประเภท 2x2  หรือ กล้องพวก Speed dome พวกนี้ใช้กำลังไฟสูงมาก สามารถใช้ได้ถึง 8 ชุด  หรือให้ทางร้านคำนวนให้ได้เลยครับ รุ่นนี้ Port Uplink เป็น 2 Port SFP+ 10Gbps ถ้าเชื่อมต่อใช้ LAN RJ45 ครบทุก Port ต้องใช้ร่วมกับ SFP+ Module เพื่อ Uplink ไปยัง Loadbalance Gateway ที่รองรับ Port SFP+ เพื่อไม่ให้เป็นคอขวด
• รองรับการจัดการ Config รวมถึง Monitor อุปกรณ์ เช่น Status Port Up/Down, จ่ายไฟ POE (สำหรับรุ่นที่รองรับ), Traffic, ผ่าน • Ruijie Cloud ทั้งบน Browser และ App ติดตั้งใน Smartphone
• Port Lan Multi-Gigabit 1/2.5Gbps สำหรับ Access Point Wi-Fi 6/7 APs
• Ruijie Cloud License ฟรี ตลอดชีพ
• 802.3at/af-compliant PoE+ ports with a total power supply of 240 W
• รองรับ VLAN 802.1q ได้สูงสุด 4094VLAN
• รองรับการทำ Static Link Aggregate กรณีต้องการรวมความเร็วสาย Lan มากกว่า 1 เส้น
• รองรับการทำ IGMP Snooping
• รองรับ DHCP Snooping ป้องกันพวก DHCP Server ที่ไม่เกี่ยวข้องเชื่อมต่อเข้ามา
• รองรับ Remote Rebbot POE
• รองรับ Real-Time Alarm</t>
  </si>
  <si>
    <t>ประเภทสวิตช์ (Switch Type) : L2 Managed PoE Switch
รูปแบบการติดตั้ง (Installation) : Rackmount
จำนวนพอร์ต LAN (LAN Ports) : 8 Ports
ความเร็วพอร์ต LAN (Port Speed) : Multi-Gig 2.5G (10/100/1000/2.5G)
รองรับ PoE (PoE Support) : PoE+ (802.3af/at/bt )
จำนวนพอร์ต PoE (PoE Ports) : 8
พลังงาน PoE สูงสุด (PoE Budget) : 240W
Uplink Ports : 2x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</si>
  <si>
    <t>L2 Cloud Managed Switch</t>
  </si>
  <si>
    <t>RG-NBS3200-48GT4XS-P-V2</t>
  </si>
  <si>
    <t>RG-NBS3200-48GT4XS-P-V2 Reyee L2 Cloud Managed POE Switch 48 Port Gigabit 370W</t>
  </si>
  <si>
    <t>https://eo-sgp-cos.ruijie.com/background/other/2025-04-25/Frame%201-20250425-133534.png</t>
  </si>
  <si>
    <t>https://eo-sgp-cos.ruijie.com/background/other/2025-04-25/Frame%202-20250425-133534.png</t>
  </si>
  <si>
    <t>https://eo-sgp-cos.ruijie.com/background/other/2025-04-25/Frame%203-20250425-133534.png</t>
  </si>
  <si>
    <t>Reyee RG-NBS3200-48GT4XS-P-V2 L2 Cloud Managed POE Switch 48 Port จ่ายไฟ POE มาตรฐาน 802.3af/at กำลังไฟสูงสุด 370W , 4 Port SFP+ รองรับการบริหารจัดการผ่าน Ruijie Cloud
RG-NBS3200-48GT4SFP-P-V2 Reyee L2 Cloud Managed Switch สำหรับงาน Network, WIFI Hotspot
L2 Managed Gigabit POE Switch 48 Port ความเร็ว Gigabit สามารถจ่ายไฟ POE มาตรฐาน 802.3af/at (15.4W/30W) ได้ 48Port รวมกำลังไฟสูงสุด 370W
กรณีใช้กับ Access Point ที่เป็น WIFI 6 ประเภท 4x4 หรือกล้องพวก Speed dome พวกนี้ใช้กำลังไฟสูงมาก ต้องคำนวนดีๆครับ เพราะไฟอาจจะไม่พอ แต่ถ้าใช้กับ Access Point WIFI6 พวก 2x2 ใช้ได้ 24 ตัวสบายๆ หรือให้ทางร้านคำนวนให้ได้เลยครับ
รุ่นนี้ Port Uplink เป็น Port SFP+ x 4Port ความเร็วสูงถึง 10 Gigabit ใช้ร่วมกับ SFP+ Module เชื่อมต่อผ่านสาย Fiber Optic ข้อดีเวลาใช้ Fiber Optice ทำ Uplink จะทำเดินสายได้เกิน 100 เมตรครับ ระยะที่ได้จะสูงถึง 10กิโลเมตร เลย และได้ความเร็วสูงถึง 10Gbps
• รองรับการจัดการ Config รวมถึง Monitor อุปกรณ์ เช่น Status Port Up/Down, จ่ายไฟ POE (สำหรับรุ่นที่รองรับ), Traffic, ผ่าน • Ruijie Cloud ทั้งบน Browser และ App ติดตั้งใน Smartphone
• Ruijie Cloud License ฟรี ตลอดชีพ
• รองรับ VLAN 802.1q ได้สูงสุด 4094VLAN
• รองรับการทำ Link Aggregate กรณีต้องการรวมความเร็วสาย Lan มากกว่า 1 เส้น เพื่อให้ได้ Bandwidth ที่สูงกว่า 1Gbps
• รองรับการทำ IGMP Snooping
• รองรับ DHCP Snooping ป้องกันพวก DHCP Server ที่ไม่เกี่ยวข้องเชื่อมต่อเข้ามา
• รองรับ Remote Rebbot POE
• รองรับ Real-Time Alarm</t>
  </si>
  <si>
    <t>ประเภทสวิตช์ (Switch Type) : L2 Managed PoE Switch
รูปแบบการติดตั้ง (Installation) : Rackmount
จำนวนพอร์ต LAN (LAN Ports) :48 Ports
ความเร็วพอร์ต LAN (Port Speed) : Gigabit (10/100/1000)
รองรับ PoE (PoE Support) : PoE+ (802.3af/at/bt )
จำนวนพอร์ต PoE (PoE Ports) : 48 Ports
พลังงาน PoE สูงสุด (PoE Budget) : 370W
Uplink Ports : 4x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</si>
  <si>
    <t>RG-NBS3200-24GT4XS-P-V2</t>
  </si>
  <si>
    <t>RG-NBS3200-24GT4XS-P-V2 Reyee L2 Cloud Managed POE Switch 24 Port Gigabit 370W</t>
  </si>
  <si>
    <t>https://eo-sgp-cos.ruijie.com/background/other/2025-04-25/Frame%201-20250425-143348.png</t>
  </si>
  <si>
    <t>https://eo-sgp-cos.ruijie.com/background/other/2025-04-25/Frame%202-20250425-143348.png</t>
  </si>
  <si>
    <t>https://eo-sgp-cos.ruijie.com/background/other/2025-04-25/Frame%206-20250425-143348.png</t>
  </si>
  <si>
    <t>Reyee RG-NBS3200-24GT4XS-P-V2 L2 Cloud Managed POE Switch 24 Port, 4 Port SFP+ จ่ายไฟ POE 24 Port มาตรฐาน 802.3af/at สูงสุด 370W บริหารจัดการผ่าน Ruijie Cloud
Reyee by Ruijie RG-NBS3200-24GT4XS-P-V2 L2 Cloud Managed Switch สำหรับงาน Network, WIFI Hotspot, งานเชื่อมต่อ Uplink ความเร็วสูง
L2 Managed Gigabit POE Switch 24 Port ความเร็ว Gigabit สามารถจ่ายไฟ POE มาตรฐาน 802.3af/at (15.4W/30W) ได้ 24 Port รวมกำลังไฟสูงสุด 370W เฉลี่ยต่อ Port 15.4W
กรณีใช้กับ Access Point ที่เป็น WIFI 6 ประเภท 4x4  หรือกล้องพวก Speed dome พวกนี้ใช้กำลังไฟสูงมาก ต้องคำนวนดีๆครับ เพราะไฟอาจจะไม่พอ แต่ถ้าใช้กับ Access Point WIFI6 พวก 2x2 ใช้ได้ 24 ตัวสบายๆ หรือให้ทางร้านคำนวนให้ได้เลยครับ
รุ่นนี้ Port Uplink เป็น Port SFP+ x 4Port ความเร็วสูงถึง 10 Gigabit ใช้ร่วมกับ SFP+ Module เชื่อมต่อผ่านสาย Fiber Optic ข้อดีเวลาใช้ Fiber Optice ทำ Uplink จะทำเดินสายได้เกิน 100 เมตรครับ ระยะที่ได้จะสูงถึง 10กิโลเมตร เลย และได้ความเร็วสูงถึง 10Gbps
• รองรับการจัดการ Config รวมถึง Monitor อุปกรณ์ เช่น Status Port Up/Down, จ่ายไฟ POE (สำหรับรุ่นที่รองรับ), Traffic, ผ่าน Ruijie Cloud ทั้งบน Browser และ App ติดตั้งใน Smartphone
• Ruijie Cloud License ฟรี ตลอดชีพ
• รองรับ VLAN 802.1q ได้สูงสุด 4094VLAN
• รองรับการทำ Static Link Aggregate กรณีต้องการรวมความเร็วสาย Lan มากกว่า 1 เส้น
• รองรับการทำ IGMP Snooping
• รองรับ DHCP Snooping ป้องกันพวก DHCP Server ที่ไม่เกี่ยวข้องเชื่อมต่อเข้ามา
• รองรับ Remote Rebbot POE
• รองรับ Real-Time Alarm</t>
  </si>
  <si>
    <t>ประเภทสวิตช์ (Switch Type) : L2 Managed PoE Switch
รูปแบบการติดตั้ง (Installation) : Rackmount
จำนวนพอร์ต LAN (LAN Ports) :24 Ports
ความเร็วพอร์ต LAN (Port Speed) : Gigabit (10/100/1000)
รองรับ PoE (PoE Support) : PoE+ (802.3af/at/bt )
จำนวนพอร์ต PoE (PoE Ports) : 24 Ports
พลังงาน PoE สูงสุด (PoE Budget) : 370W
Uplink Ports : 4x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</si>
  <si>
    <t xml:space="preserve">RG-NBS3100-48GT4SFP-P-V2 </t>
  </si>
  <si>
    <t>RG-NBS3100-48GT4SFP-P-V2 Reyee L2 Cloud Managed POE Switch 48 Port Gigabit 370W</t>
  </si>
  <si>
    <t>https://eo-sgp-cos.ruijie.com/background/other/2025-04-25/Frame%201-20250425-115720.png</t>
  </si>
  <si>
    <t>https://eo-sgp-cos.ruijie.com/background/other/2025-04-25/Frame%202-20250425-115720.png</t>
  </si>
  <si>
    <t>https://eo-sgp-cos.ruijie.com/background/other/2025-04-25/Frame%206-20250425-115720.png</t>
  </si>
  <si>
    <t>Reyee RG-NBS3100-48GT4SFP-P L2 Cloud Managed POE Switch 48 Port มาตรฐาน 802.3af/at กำลังไฟสูงสุด 370W , 4 Port SFP รองรับการบริหารจัดการผ่าน Ruijie Cloud
RG-NBS3100-48GT4SFP-P-V2 Reyee L2 Cloud Managed Switch สำหรับงาน Network, WIFI Hotspot
L2 Managed Gigabit POE Switch 48 Port ความเร็ว Gigabit สามารถจ่ายไฟ POE มาตรฐาน 802.3af/at (15.4W/30W) ได้ 48Port รวมกำลังไฟสูงสุด 370W
กรณีใช้กับ Access Point ที่เป็น WIFI 6 ประเภท 4x4 หรือกล้องพวก Speed dome พวกนี้ใช้กำลังไฟสูงมาก ต้องคำนวนดีๆครับ เพราะไฟอาจจะไม่พอ แต่ถ้าใช้กับ Access Point WIFI6 พวก 2x2 ใช้ได้ 24 ตัวสบายๆ หรือให้ทางร้านคำนวนให้ได้เลยครับ
รุ่นนี้ Port Uplink เป็น Port SFP x 4Port Gigabit ถ้าใช้ LAN RJ45 ครบทุก Port ต้องใช้ร่วมกับ SFP Module เชื่อมต่อผ่านสาย Fiber Optic ข้อดีเวลาใช้ Fiber Optice ทำ Uplink จะทำเดินสายได้เกิน 100 เมตร ระยะทางที่ได้จะสูงถึง 10กิโลเมตร เลย
• รองรับการจัดการ Config รวมถึง Monitor อุปกรณ์ เช่น Status Port Up/Down, จ่ายไฟ POE (สำหรับรุ่นที่รองรับ), Traffic, ผ่าน Ruijie Cloud ทั้งบน Browser และ App ติดตั้งใน Smartphone
• Ruijie Cloud License ฟรี ตลอดชีพ
• รองรับ VLAN 802.1q ได้สูงสุด 4094VLAN
• รองรับการทำ Link Aggregate กรณีต้องการรวมความเร็วสาย Lan มากกว่า 1 เส้น เพื่อให้ได้ Bandwidth ที่สูงกว่า 1Gbps
• รองรับการทำ IGMP Snooping
• รองรับ DHCP Snooping ป้องกันพวก DHCP Server ที่ไม่เกี่ยวข้องเชื่อมต่อเข้ามา
• รองรับ Remote Rebbot POE
• รองรับ Real-Time Alarm</t>
  </si>
  <si>
    <t>ประเภทสวิตช์ (Switch Type) : L2 Managed PoE Switch
รูปแบบการติดตั้ง (Installation) : Rackmount
จำนวนพอร์ต LAN (LAN Ports) :48 Ports
ความเร็วพอร์ต LAN (Port Speed) : Gigabit (10/100/1000)
รองรับ PoE (PoE Support) : PoE+ (802.3af/at)
จำนวนพอร์ต PoE (PoE Ports) : 48 Ports
พลังงาน PoE สูงสุด (PoE Budget) : 370W
Uplink Ports : 4x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</si>
  <si>
    <t xml:space="preserve">RG-NBS3300-16MG4XS-HP </t>
  </si>
  <si>
    <t>RG-NBS3300-16MG4XS-HP Reyee L2-Cloud Managed POE Muti-Gig Switch 16 Port</t>
  </si>
  <si>
    <t>https://eo-sgp-cos.ruijie.com/background/other/2024-08-08/0a57a93d5b4749ada01961058c27652c.png</t>
  </si>
  <si>
    <t>https://eo-sgp-cos.ruijie.com/background/other/2024-08-08/315c2a7b70144a2f88178b9ffba2e503.png</t>
  </si>
  <si>
    <t>https://eo-sgp-cos.ruijie.com/background/other/2024-08-08/a8be94c6cff74c5f86e322842e307aff.png</t>
  </si>
  <si>
    <t>RG-NBS3300-16MG4XS-HP Reyee L2-Cloud Managed POE Muti-Gigabit Switch 16 Port 1/2.5Gbps, POE 802.3bt 370W, 4 Port SFP+, VLAN, IGMP Snooping, Aggregate, จัดการผ่าน Ruijie Cloud
Reyee RG-NBS3300-16MG4XS-HP L2-Cloud Managed POE Muti-Gigabit Switch 16 Port ความเร็ว 1/2.5Gbps, 4 Port SFP+ ความเร็ว 10Gbps สำหรับงาน Network, WIFI Hotspot
L2-Cloud Managed Multi-Gigabit POE Switch 16Port ความเร็ว 1/2.5Gigabit สามารถจ่ายไฟ POE มาตรฐาน 802.3af/at/bt (15.4W/30W/90W) ได้ 16 Port รวมกำลังไฟสูงสุด 370W เฉลี่ยการใช้งาน จ่ายไฟ POE++ 90W x 4 Port, จ่ายไฟ POE+ 30W x 12Port, จ่ายไฟ POE+ 15.4W x 16Port
รองรับการทำ VLAN 802.1q, IGMP Snooping, Aggregate, ACL, 802.1X, บริหารจัดการผ่าน Cloud Controller
กรณีใช้กับ Access Point ที่เป็น WIFI 7 ประเภท 4x4  หรือ กล้องพวก Speed dome พวกนี้ใช้กำลังไฟสูงมาก สามารถใช้ได้ถึง 4 ชุด แต่ถ้าใช้กับ Access Point WIFI6 พวก 2x2 ใช้ได้ 8-16 ตัวสบายๆ หรือให้ทางร้านคำนวนให้ได้เลยครับ รุ่นนี้ Port Uplink เป็น 4 Port SFP+ 10Gbps ถ้าเชื่อมต่อใช้ LAN RJ45 ครบทุก Port ต้องใช้ร่วมกับ SFP+ Module เพื่อ Uplink ไปยัง Loadbalance Gateway ที่รองรับ Port SFP+ เพื่อไม่ให้เป็นคอขวด
• รองรับการจัดการ Config รวมถึง Monitor อุปกรณ์ เช่น Status Port Up/Down, จ่ายไฟ POE (สำหรับรุ่นที่รองรับ), Traffic, ผ่าน Ruijie Cloud ทั้งบน Browser และ App ติดตั้งใน Smartphone
• Port Lan Multi-Gigabit 1/2.5Gbps สำหรับ Access Point Wi-Fi 6/7 APs
• Ruijie Cloud License ฟรี ตลอดชีพ
• 802.3bt/at/af-compliant PoE++ ports with a total power supply of 370 W
• รองรับ VLAN 802.1q ได้สูงสุด 4094VLAN
• รองรับการทำ Static Link Aggregate กรณีต้องการรวมความเร็วสาย Lan มากกว่า 1 เส้น
• รองรับการทำ IGMP Snooping
• รองรับ DHCP Snooping ป้องกันพวก DHCP Server ที่ไม่เกี่ยวข้องเชื่อมต่อเข้ามา
• รองรับ Remote Rebbot POE
• รองรับ Real-Time Alarm</t>
  </si>
  <si>
    <t>ประเภทสวิตช์ (Switch Type) : L2 Managed PoE Switch
รูปแบบการติดตั้ง (Installation) : Rackmount
จำนวนพอร์ต LAN (LAN Ports) :16 Ports
ความเร็วพอร์ต LAN (Port Speed) : Multi-Gig 2.5G (10/100/1000/2.5G)
รองรับ PoE (PoE Support) : PoE+ (802.3af/at/bt )
จำนวนพอร์ต PoE (PoE Ports) : 16 Ports
พลังงาน PoE สูงสุด (PoE Budget) : 370W
Uplink Ports : 4x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</si>
  <si>
    <t>RG-NBS3100-8GT2SFP-P-V2</t>
  </si>
  <si>
    <t>RG-NBS3100-8GT2SFP-P-V2 Reyee L2 Cloud Managed POE Switch 8 Port Gigabit 125W</t>
  </si>
  <si>
    <t>https://eo-sgp-cos.ruijie.com/background/other/2024-01-04/1f1aea1ae8e74702aaad7e4836072255.png</t>
  </si>
  <si>
    <t>https://eo-sgp-cos.ruijie.com/background/other/2024-01-04/d50251deae3446c28849882f39b25d16.png</t>
  </si>
  <si>
    <t>https://eo-sgp-cos.ruijie.com/background/other/2024-01-04/cc795b2652524153899ba769ecb051e5.png</t>
  </si>
  <si>
    <t>Reyee RG-NBS3100-8GT2SFP-P-V2 L2 Cloud Managed POE Switch 8 Port 802.3af/at สูงสุด 125W , 2 Port SFP รองรับการทำ VLAN, IGMP Snooping, Aggregate, บริหารจัดการผ่าน Cloud Controller
Reyee RG-NBS3100-8GT2SFP-P-V2 L2 Cloud Managed POE Switch สำหรับงาน Network, WIFI Hotspot
RG-NBS3100-8GT2SFP-P-V2 Switch L2 Cloud Managed Gigabit POE 8 Port ความเร็ว Gigabit สามารถจ่ายไฟ POE มาตรฐาน 802.3af/at (15.4W/30W) ได้ 8 Port รวมกำลังไฟสูงสุด 125W เฉลี่ยต่อ Port 15.6W
กรณีใช้กับ Access Point ที่เป็น WIFI 6 ประเภท 4x4  หรือกล้องพวก Speed dome พวกนี้ใช้กำลังไฟสูงมาก ต้องคำนวนดีๆครับ เพราะไฟอาจจะไม่พอ แต่ถ้าใช้กับ Access Point WIFI6 พวก 2x2 ใช้ได้ 8 ตัวสบายๆ หรือให้ทางร้านคำนวนให้ได้เลยครับ
สิ่งที่ RG-NBS3100-8GT2SFP-P-V2 แตกต่างจาก Version แรก เปลี่ยนสีดำเป็นสีเงิน และ ขนาดสั้นลงอีก 15cm ทำให้วางได้ง่าย
รุ่นนี้ Port Uplink เป็น Port SFP x 2Port Gigabit ถ้าใช้ LAN RJ45 ครบทุก Port ต้องใช้ร่วมกับ SFP Module เชื่อมต่อผ่านสาย Fiber Optic ข้อดีเวลาใช้ Fiber Optice ทำ Uplink จะทำเดินสายได้เกิน 100 เมตรครับ ระยะที่ได้จะสูงถึง 10กิโลเมตร เลย
• รองรับการจัดการ Config รวมถึง Monitor อุปกรณ์ เช่น Status Port Up/Down, จ่ายไฟ POE (สำหรับรุ่นที่รองรับ), Traffic, ผ่าน • Ruijie Cloud ทั้งบน Browser และ App ติดตั้งใน Smartphone
• Ruijie Cloud License ฟรี ตลอดชีพ
• รองรับ VLAN 802.1q ได้สูงสุด 4094VLAN
• รองรับการทำ Static Link Aggregate กรณีต้องการรวมความเร็วสาย Lan มากกว่า 1 เส้น
• องรับการทำ IGMP Snooping
• รองรับ DHCP Snooping ป้องกันพวก DHCP Server ที่ไม่เกี่ยวข้องเชื่อมต่อเข้ามา
• รองรับ Remote Rebbot POE
• รองรับ Real-Time Alarm</t>
  </si>
  <si>
    <t>ประเภทสวิตช์ (Switch Type) : L2 Managed PoE Switch
รูปแบบการติดตั้ง (Installation) : Rackmount
จำนวนพอร์ต LAN (LAN Ports) : 8 Ports
ความเร็วพอร์ต LAN (Port Speed) : Gigabit (10/100/1000)
รองรับ PoE (PoE Support) : PoE+ (802.3af/at/bt )
จำนวนพอร์ต PoE (PoE Ports) : 8
พลังงาน PoE สูงสุด (PoE Budget) : 240W
Uplink Ports : 2x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</si>
  <si>
    <t>usw-flex-25g-5</t>
  </si>
  <si>
    <t>USW-Flex-2.5G-5</t>
  </si>
  <si>
    <t>Ubiquiti USW-Flex-2.5G-5 UniFi Flex Mini 2.5G L2-Managed Switch 5 Port</t>
  </si>
  <si>
    <t>Ubiquiti Networks</t>
  </si>
  <si>
    <t>https://sysnetcenter.com/14155-home_default/usw-flex-25g-5-unifi-flex-mini-25g-l2-managed-multi-gigabit-switch-5-port.webp</t>
  </si>
  <si>
    <t>UniFi Flex Mini 2.5G L2-Managed Switch 5 Port รองรับ POE/USB-C VLAN LAG</t>
  </si>
  <si>
    <t>• 5x 2.5G Ethernet Port
• รับไฟจาก PoE หรือ USB-C
• L2-Managed: VLAN, LAG
• บริหารจัดการผ่าน UniFi Controller</t>
  </si>
  <si>
    <t>พอร์ต: 5x 2.5G Ethernet
Switching: L2-Managed
VLAN: 802.1Q
Power: PoE In / USB-C</t>
  </si>
  <si>
    <t>Switch,2.5G,L2-Managed,VLAN,Flex</t>
  </si>
  <si>
    <t>usw-pro-max-24-poe</t>
  </si>
  <si>
    <t>USW-Pro-Max-24-POE</t>
  </si>
  <si>
    <t>Ubiquiti USW-Pro-Max-24-POE UniFi Switch L3 Managed 24 Port Gigabit PoE 400W</t>
  </si>
  <si>
    <t>https://sysnetcenter.com/14089-home_default/usw-pro-max-24-poe-400watt-ubiquiti-unifi-switch-l3-managed-gigabit-poe-24-port-with-8-port-25gbps.webp</t>
  </si>
  <si>
    <t>UniFi Pro Max Switch L3-Managed 24 Port Gigabit + 4 Port 2.5G + 2 SFP+ PoE 802.3bt 400W</t>
  </si>
  <si>
    <t>• 24 Port Gigabit + 4 Port 2.5G + 2 Port SFP+ 10G
• PoE 802.3bt รวม 400W
• L3-Managed: VLAN, QoS, LACP, OSPF
• บริหารจัดการผ่าน UniFi Controller</t>
  </si>
  <si>
    <t>พอร์ต Gigabit: 24x Gigabit
พอร์ต 2.5G: 4x 2.5G
พอร์ต Uplink: 2x SFP+ 10G
PoE Budget: 400W (802.3bt)
Layer: L3-Managed</t>
  </si>
  <si>
    <t>Switch,Gigabit,PoE,L3-Managed,SFP+</t>
  </si>
  <si>
    <t>usw-pro-max-16-poe</t>
  </si>
  <si>
    <t>USW-Pro-Max-16-POE</t>
  </si>
  <si>
    <t>Ubiquiti USW-Pro-Max-16-POE UniFi Switch L3 Managed 16 Port Gigabit PoE 180W</t>
  </si>
  <si>
    <t>https://sysnetcenter.com/14080-home_default/usw-pro-max-16-poe-180watt-ubiquiti-unifi-switch-l3-managed-gigabit-poe-16-port-with-4-port-25gbps.webp</t>
  </si>
  <si>
    <t>UniFi Pro Max Switch L3-Managed 12 Port Gigabit + 4 Port 2.5G PoE 802.3af/at/bt 180W</t>
  </si>
  <si>
    <t>• 12 Port Gigabit + 4 Port 2.5G
• PoE 802.3af/at/bt รวม 180W
• L3-Managed: VLAN, QoS, LACP
• บริหารจัดการผ่าน UniFi Controller</t>
  </si>
  <si>
    <t>พอร์ต Gigabit: 12x Gigabit
พอร์ต 2.5G: 4x 2.5G
PoE Budget: 180W (802.3bt)
Layer: L3-Managed</t>
  </si>
  <si>
    <t>Switch,Gigabit,PoE,L3-Managed</t>
  </si>
  <si>
    <t>usw-pro-aggregation</t>
  </si>
  <si>
    <t>USW-Pro-Aggregation</t>
  </si>
  <si>
    <t>Ubiquiti USW-Pro-Aggregation UniFi L3-Managed Aggregation Switch 28 Port SFP+</t>
  </si>
  <si>
    <t>https://sysnetcenter.com/12219-home_default/ubiquiti-unifi-switch-usw-pro-aggregation-l3-managed-switch-28-port-sfp-plus.webp</t>
  </si>
  <si>
    <t>UniFi L3-Managed Aggregation Switch 28 Port SFP+ 1/10G + 4 Port SFP28 25G</t>
  </si>
  <si>
    <t>• 28 Port SFP+ 1/10Gbps
• 4 Port SFP28 1/10/25Gbps
• L3-Managed สำหรับ Core/Distribution Layer
• High-density fiber connectivity</t>
  </si>
  <si>
    <t>พอร์ต SFP+: 28x SFP+ [1/10G]
พอร์ต SFP28: 4x SFP28 [1/10/25G]
Layer: L3-Managed
Switching Capacity: 680Gbps</t>
  </si>
  <si>
    <t>Switch,Aggregation,SFP+,25G,L3-Managed</t>
  </si>
  <si>
    <t>usw-24</t>
  </si>
  <si>
    <t>USW-24</t>
  </si>
  <si>
    <t>Ubiquiti USW-24 UniFi Switch 24 Gen2 L2-Managed Gigabit 24 Port + 2 SFP</t>
  </si>
  <si>
    <t>https://sysnetcenter.com/12137-home_default/usw-24-ubiquiti-unifi-switch-24-gen2-l2-managed-gigabit-switch-24-port-2-sfp.webp</t>
  </si>
  <si>
    <t>UniFi Switch 24 Gen2 L2-Managed 24 Port Gigabit + 2 SFP Uplink ไม่มี PoE</t>
  </si>
  <si>
    <t>• 24 Port Gigabit + 2 Port SFP 1G
• L2-Managed: VLAN, QoS, RSTP
• บริหารจัดการผ่าน UniFi Controller
• ไม่มี PoE</t>
  </si>
  <si>
    <t>พอร์ต Gigabit: 24x Gigabit
พอร์ต Uplink: 2x SFP 1G
Layer: L2-Managed
VLAN: 802.1Q</t>
  </si>
  <si>
    <t>Switch,Gigabit,L2-Managed,SFP</t>
  </si>
  <si>
    <t>usw-ultra-210w</t>
  </si>
  <si>
    <t>USW-Ultra-210W</t>
  </si>
  <si>
    <t>Ubiquiti USW-Ultra-210W UniFi Switch L2-Managed PoE 7 Port Gigabit 202W</t>
  </si>
  <si>
    <t>https://sysnetcenter.com/12105-home_default/usw-ultra-210w-ubiquiti-unifi-switch-l2-managed-gigabit-poe-switch-7-port-gigabit.webp</t>
  </si>
  <si>
    <t>UniFi Ultra Switch L2-Managed 7 Port Gigabit PoE 802.3af/at รวม 202W</t>
  </si>
  <si>
    <t>• 7 Port Gigabit PoE 802.3af/at
• PoE Budget รวม 202W
• L2-Managed: VLAN, QoS
• Fanless Design</t>
  </si>
  <si>
    <t>พอร์ต: 7x Gigabit PoE
PoE Budget: 202W
Layer: L2-Managed
Design: Fanless</t>
  </si>
  <si>
    <t>Switch,Gigabit,PoE,L2-Managed,Fanless</t>
  </si>
  <si>
    <t>usw-ultra-60w</t>
  </si>
  <si>
    <t>USW-Ultra-60W</t>
  </si>
  <si>
    <t>Ubiquiti USW-Ultra-60W UniFi Switch L2-Managed PoE 7 Port Gigabit 60W</t>
  </si>
  <si>
    <t>https://sysnetcenter.com/12102-home_default/usw-ultra-60w-ubiquiti-unifi-switch-l2-managed-gigabit-poe-switch-7-port-gigabit.webp</t>
  </si>
  <si>
    <t>UniFi Ultra Switch L2-Managed 7 Port Gigabit PoE 802.3af/at รวม 60W</t>
  </si>
  <si>
    <t>• 7 Port Gigabit PoE 802.3af/at
• PoE Budget รวม 60W
• L2-Managed: VLAN, QoS
• Fanless Design</t>
  </si>
  <si>
    <t>พอร์ต: 7x Gigabit PoE
PoE Budget: 60W
Layer: L2-Managed
Design: Fanless</t>
  </si>
  <si>
    <t>usw-48-poe</t>
  </si>
  <si>
    <t>USW-48-POE</t>
  </si>
  <si>
    <t>Ubiquiti USW-48-POE UniFi Switch L2-Managed PoE 48 Port Gigabit 195W</t>
  </si>
  <si>
    <t>https://sysnetcenter.com/9813-home_default/ubiquiti-unifi-switch-usw-48-poe-l2-managed-gigabit-poe-switch-48-port.webp</t>
  </si>
  <si>
    <t>UniFi Switch L2-Managed 48 Port Gigabit + 4 SFP 1G PoE 802.3af/at รวม 195W</t>
  </si>
  <si>
    <t>• 48 Port Gigabit + 4 Port SFP 1G
• PoE 802.3af/at รวม 195W
• L2-Managed: VLAN, QoS, RSTP, IGMP
• บริหารจัดการผ่าน UniFi Controller</t>
  </si>
  <si>
    <t>พอร์ต Gigabit: 48x Gigabit
พอร์ต Uplink: 4x SFP 1G
PoE Budget: 195W (802.3af/at)
Layer: L2-Managed</t>
  </si>
  <si>
    <t>Switch,Gigabit,PoE,L2-Managed,SFP</t>
  </si>
  <si>
    <t>usw-lite-8-poe</t>
  </si>
  <si>
    <t>USW-Lite-8-PoE</t>
  </si>
  <si>
    <t>Ubiquiti USW-Lite-8-PoE UniFi Switch L2-Managed PoE 8 Port Gigabit 52W</t>
  </si>
  <si>
    <t>https://sysnetcenter.com/9808-home_default/-usw-lite-8-poe-l2-managedubiquiti-gigabit-poe-switch-4-port-52w.webp</t>
  </si>
  <si>
    <t>UniFi Lite Switch L2-Managed 8 Port PoE 802.3af/at 4 Port รวม 52W VLAN LAG</t>
  </si>
  <si>
    <t>• 8 Port Gigabit [4 Port PoE]
• PoE 802.3af/at รวม 52W
• L2-Managed: VLAN, LAG
• Desktop Form Factor</t>
  </si>
  <si>
    <t>พอร์ต: 8x Gigabit (4x PoE)
PoE Budget: 52W (802.3af/at)
Layer: L2-Managed
VLAN: 802.1Q</t>
  </si>
  <si>
    <t>Switch,Gigabit,PoE,L2-Managed,VLAN</t>
  </si>
  <si>
    <t>usw-lite-16-poe</t>
  </si>
  <si>
    <t>USW-Lite-16-PoE</t>
  </si>
  <si>
    <t>Ubiquiti USW-Lite-16-PoE UniFi Switch L2-Managed PoE 16 Port Gigabit 45W</t>
  </si>
  <si>
    <t>https://sysnetcenter.com/9800-home_default/ubiquiti-usw-lite-16-poe-l2-managed-gigabit-poe-switch-16-port-45w.webp</t>
  </si>
  <si>
    <t>UniFi Lite Switch L2-Managed 16 Port PoE 802.3af/at รวม 45W VLAN LAG</t>
  </si>
  <si>
    <t>• 16 Port Gigabit PoE 802.3af/at
• PoE Budget รวม 45W
• L2-Managed: VLAN, LAG
• Desktop/Wall mount</t>
  </si>
  <si>
    <t>พอร์ต: 16x Gigabit PoE
PoE Budget: 45W (802.3af/at)
Layer: L2-Managed
VLAN: 802.1Q</t>
  </si>
  <si>
    <t>usw-flex-mini</t>
  </si>
  <si>
    <t>USW-Flex-Mini</t>
  </si>
  <si>
    <t>Ubiquiti USW-Flex-Mini UniFi Switch L2-Managed Gigabit 5 Port PoE/USB-C</t>
  </si>
  <si>
    <t>https://sysnetcenter.com/9332-home_default/ubiquiti-usw-flex-mini-l2-managed-gigabit-switch-5-port.webp</t>
  </si>
  <si>
    <t>UniFi Flex Mini Switch L2-Managed 5 Port Gigabit รับไฟจาก PoE หรือ USB-C 5VDC</t>
  </si>
  <si>
    <t>• 5 Port Gigabit Ethernet
• รับไฟจาก PoE หรือ USB-C 5VDC
• L2-Managed: VLAN, LAG
• Compact Desktop Design</t>
  </si>
  <si>
    <t>พอร์ต: 5x Gigabit
Power: PoE In / USB-C 5VDC
Layer: L2-Managed
VLAN: 802.1Q</t>
  </si>
  <si>
    <t>Switch,Gigabit,L2-Managed,Flex,USB-C</t>
  </si>
  <si>
    <t>usw-enterprise-24-poe</t>
  </si>
  <si>
    <t>USW-Enterprise-24-PoE</t>
  </si>
  <si>
    <t>Ubiquiti USW-Enterprise-24-PoE UniFi Switch L3 Multi-Gigabit PoE 24 Port 400W</t>
  </si>
  <si>
    <t>https://sysnetcenter.com/12661-home_default/ubiquiti-unifi-switch-usw-enterprise-24-poe-l3-managed-multi-gigabit-poe-switch-24-port.webp</t>
  </si>
  <si>
    <t>UniFi Enterprise Switch L3-Managed 24 Port 1G/2.5G + 2 SFP+ 10G PoE 802.3at/bt 400W</t>
  </si>
  <si>
    <t>• 24 Port 1G/2.5G Multi-Gigabit
• 2 Port SFP+ 10Gbps Uplink
• PoE 802.3at/bt รวม 400W
• L3-Managed: OSPF, VLAN, QoS</t>
  </si>
  <si>
    <t>พอร์ต: 24x 1G/2.5G Multi-Gigabit
Uplink: 2x SFP+ 10G
PoE Budget: 400W (802.3bt)
Layer: L3-Managed</t>
  </si>
  <si>
    <t>Switch,Multi-Gigabit,PoE,L3-Managed,Enterprise</t>
  </si>
  <si>
    <t>usw-pro-48-poe</t>
  </si>
  <si>
    <t>USW-Pro-48-POE</t>
  </si>
  <si>
    <t>Ubiquiti USW-Pro-48-POE UniFi Switch L3 Managed PoE 48 Port Gigabit 600W</t>
  </si>
  <si>
    <t>https://sysnetcenter.com/6927-home_default/ubiquiti-unifi-switch-usw-pro-48-poe-gen2-l3-managed-gigabit-poe-switch-48-port.webp</t>
  </si>
  <si>
    <t>UniFi Pro Switch L3-Managed Gen2 48 Port Gigabit + 4 SFP+ 10G PoE 802.3at/bt 600W</t>
  </si>
  <si>
    <t>• 48 Port Gigabit + 4 Port SFP+ 10G
• PoE 802.3at/bt รวม 600W
• L3-Managed: OSPF, VLAN, QoS, LACP
• Enterprise Grade</t>
  </si>
  <si>
    <t>พอร์ต Gigabit: 48x Gigabit PoE
Uplink: 4x SFP+ 10G
PoE Budget: 600W (802.3bt)
Layer: L3-Managed</t>
  </si>
  <si>
    <t>Switch,Gigabit,PoE,L3-Managed,Enterprise,SFP+</t>
  </si>
  <si>
    <t>usw-pro-24-poe</t>
  </si>
  <si>
    <t>USW-Pro-24-POE</t>
  </si>
  <si>
    <t>Ubiquiti USW-Pro-24-POE UniFi Switch L3 Managed PoE 24 Port Gigabit 400W</t>
  </si>
  <si>
    <t>https://sysnetcenter.com/6922-home_default/ubiquiti-unifi-switch-usw-pro-24-poe-gen2-l3-managed-gigabit-poe-switch-24-port.webp</t>
  </si>
  <si>
    <t>UniFi Pro Switch L3-Managed Gen2 24 Port Gigabit + 2 SFP+ 10G PoE 802.3at/bt 400W</t>
  </si>
  <si>
    <t>• 24 Port Gigabit + 2 Port SFP+ 10G
• PoE 802.3at/bt รวม 400W
• L3-Managed: OSPF, VLAN, QoS, LACP</t>
  </si>
  <si>
    <t>พอร์ต Gigabit: 24x Gigabit PoE
Uplink: 2x SFP+ 10G
PoE Budget: 400W (802.3bt)
Layer: L3-Managed</t>
  </si>
  <si>
    <t>usw-24-poe</t>
  </si>
  <si>
    <t>USW-24-POE</t>
  </si>
  <si>
    <t>Ubiquiti USW-24-POE UniFi Switch L2-Managed PoE 24 Port Gigabit 95W</t>
  </si>
  <si>
    <t>https://sysnetcenter.com/6917-home_default/ubiquiti-unifi-switch-usw-24-poe-gen2-l2-managed-gigabit-poe-switch-24-port-poe-12-port.webp</t>
  </si>
  <si>
    <t>UniFi Switch L2-Managed Gen2 24 Port Gigabit + 2 SFP PoE 802.3at 16 Port รวม 95W</t>
  </si>
  <si>
    <t>• 24 Port Gigabit + 2 Port SFP
• PoE 802.3at 16 Port รวม 95W
• L2-Managed: VLAN, QoS, RSTP</t>
  </si>
  <si>
    <t>พอร์ต Gigabit: 24x Gigabit
Uplink: 2x SFP 1G
PoE Budget: 95W (802.3at) 16 Ports
Layer: L2-Managed</t>
  </si>
  <si>
    <t>ux7</t>
  </si>
  <si>
    <t>UX7</t>
  </si>
  <si>
    <t>Ubiquiti UniFi Express 7 UX7 Gateway + WiFi 7 AP 1x 10GbE WAN 1x 2.5GbE LAN</t>
  </si>
  <si>
    <t>https://sysnetcenter.com/14367-home_default/unifi-express7-ux7-ubiquiti-unifi-gateway-access-point-wifi7.webp</t>
  </si>
  <si>
    <t>UniFi Express 7 Gateway พร้อม WiFi 7 AP ในตัว 1x 10GbE WAN 1x 2.5GbE LAN SD-WAN VPN</t>
  </si>
  <si>
    <t>• UniFi Gateway + WiFi 7 AP ในตัว
• 1x 10GbE WAN, 1x 2.5GbE LAN
• รองรับ SD-WAN, VPN WireGuard/L2TP
• UniFi Controller ในตัว</t>
  </si>
  <si>
    <t>WAN: 1x 10GbE
LAN: 1x 2.5GbE
WiFi: WiFi 7 (802.11be)
VPN: WireGuard, L2TP
Controller: Built-in</t>
  </si>
  <si>
    <t>Gateway,WiFi7,SD-WAN,VPN,Controller</t>
  </si>
  <si>
    <t>unifi-express-ux</t>
  </si>
  <si>
    <t>UniFi-Express-UX</t>
  </si>
  <si>
    <t>Ubiquiti UniFi Express UX Gateway + WiFi 6 AP SD-WAN VPN WireGuard</t>
  </si>
  <si>
    <t>https://sysnetcenter.com/13264-home_default/unifi-express-ux-ubiquiti-unifi-gateway-access-point-wifi6.webp</t>
  </si>
  <si>
    <t>UniFi Express Gateway พร้อม WiFi 6 AP ในตัว SD-WAN VPN WireGuard UniFi Controller</t>
  </si>
  <si>
    <t>• UniFi Gateway + WiFi 6 AP ในตัว
• รองรับ SD-WAN, VPN WireGuard
• UniFi Controller ในตัว
• เหมาะสำหรับสำนักงานขนาดเล็ก</t>
  </si>
  <si>
    <t>WiFi: WiFi 6 (802.11ax)
VPN: WireGuard
Controller: Built-in
SD-WAN: Yes</t>
  </si>
  <si>
    <t>Gateway,WiFi6,SD-WAN,VPN,Controller</t>
  </si>
  <si>
    <t>uxg-max</t>
  </si>
  <si>
    <t>UXG-Max</t>
  </si>
  <si>
    <t>Ubiquiti UXG-Max UniFi Gateway Max 1x 2.5GbE WAN 4x 2.5GbE LAN Quad-Core</t>
  </si>
  <si>
    <t>https://sysnetcenter.com/12207-home_default/uxg-max-ubiquiti-unifi-gateway-max-sd-wan-vpn-wireguard-l2tp.webp</t>
  </si>
  <si>
    <t>UniFi Gateway Max 1x 2.5GbE WAN 4x 2.5GbE LAN Quad-Core CPU SD-WAN VPN WireGuard</t>
  </si>
  <si>
    <t>• 1x 2.5GbE WAN, 4x 2.5GbE LAN
• Quad-Core CPU
• รองรับ SD-WAN, VPN WireGuard, L2TP
• บริหารจัดการผ่าน UniFi Controller</t>
  </si>
  <si>
    <t>WAN: 1x 2.5GbE
LAN: 4x 2.5GbE
CPU: Quad-Core
VPN: WireGuard, L2TP
SD-WAN: Yes</t>
  </si>
  <si>
    <t>Gateway,SD-WAN,VPN,2.5G,Quad-Core</t>
  </si>
  <si>
    <t>udm-pro-max</t>
  </si>
  <si>
    <t>UDM-Pro-MAX</t>
  </si>
  <si>
    <t>Ubiquiti UDM-Pro-MAX UniFi Dream Machine Pro Max 10Gbps Cloud Gateway</t>
  </si>
  <si>
    <t>https://sysnetcenter.com/12173-home_default/udm-pro-max-unifi-dream-machine-pro-max-cloud-gateway.webp</t>
  </si>
  <si>
    <t>UniFi Dream Machine Pro Max 10Gbps Cloud Gateway พร้อม Controller 5Gbps Throughput</t>
  </si>
  <si>
    <t>• Cloud Gateway พร้อม Controller ในตัว
• 10Gbps WAN, 5Gbps Throughput
• รองรับ SD-WAN, VPN
• UniFi Network + Protect ในตัว</t>
  </si>
  <si>
    <t>WAN: 10Gbps
Throughput: 5Gbps
Controller: Built-in (Network+Protect)
VPN: WireGuard, L2TP
Storage: Built-in SSD</t>
  </si>
  <si>
    <t>Gateway,Dream-Machine,Controller,10G,Enterprise</t>
  </si>
  <si>
    <t>ucg-ultra</t>
  </si>
  <si>
    <t>UCG-Ultra</t>
  </si>
  <si>
    <t>Ubiquiti UCG-Ultra UniFi Cloud Gateway 2.5GbE WAN รองรับ 30 Devices</t>
  </si>
  <si>
    <t>https://www.sys2u.online/images/20241011-103001-ucg-ultra-2.png</t>
  </si>
  <si>
    <t>https://www.sys2u.online/images/20241007-153408-ucg-ultra-5.png</t>
  </si>
  <si>
    <t>https://www.sys2u.online/images/20241011-102921-11.jpg</t>
  </si>
  <si>
    <t>UniFi Cloud Gateway 1x 2.5GbE WAN รองรับ UniFi 30 Devices 300 clients Controller ในตัว</t>
  </si>
  <si>
    <t>• 1x 2.5GbE WAN
• รองรับ UniFi Devices สูงสุด 30 ตัว
• รองรับ 300 Clients
• UniFi Controller ในตัว</t>
  </si>
  <si>
    <t>WAN: 1x 2.5GbE
Max Devices: 30 UniFi
Max Clients: 300
Controller: Built-in</t>
  </si>
  <si>
    <t>Gateway,Cloud,Controller,2.5G</t>
  </si>
  <si>
    <t>uxg-lite</t>
  </si>
  <si>
    <t>UXG-Lite</t>
  </si>
  <si>
    <t>Ubiquiti UXG-Lite UniFi Gateway Lite 1x GbE WAN 1x GbE LAN Dual-Core</t>
  </si>
  <si>
    <t>https://sysnetcenter.com/11655-home_default/uxg-lite-ubiquiti-unifi-gateway-lite-sd-wan-vpn-wireguard-l2tp.webp</t>
  </si>
  <si>
    <t>UniFi Gateway Lite 1x GbE WAN 1x GbE LAN Dual-Core CPU SD-WAN VPN WireGuard</t>
  </si>
  <si>
    <t>• 1x Gigabit WAN, 1x Gigabit LAN
• Dual-Core CPU
• รองรับ SD-WAN, VPN WireGuard, L2TP
• บริหารจัดการผ่าน UniFi Controller</t>
  </si>
  <si>
    <t>WAN: 1x Gigabit
LAN: 1x Gigabit
CPU: Dual-Core
VPN: WireGuard, L2TP
SD-WAN: Yes</t>
  </si>
  <si>
    <t>Gateway,SD-WAN,VPN,Gigabit</t>
  </si>
  <si>
    <t>udm-pro</t>
  </si>
  <si>
    <t>UDM-Pro</t>
  </si>
  <si>
    <t>Ubiquiti UDM-Pro UniFi Dream Machine Pro Enterprise Appliance All-in-One</t>
  </si>
  <si>
    <t>https://sysnetcenter.com/7336-home_default/unifi-dream-machine-pro-udm-pro.webp</t>
  </si>
  <si>
    <t>UniFi Dream Machine Pro All-in-One Gateway + Controller + 8 Port Switch + 2 SFP+ 10G</t>
  </si>
  <si>
    <t>• Gateway + Controller + Switch ในตัว
• 8 Port Gigabit + 2 Port SFP+ 10G
• UniFi Network Application ในตัว
• รองรับ SD-WAN, VPN</t>
  </si>
  <si>
    <t>พอร์ต: 8x Gigabit + 2x SFP+ 10G
Controller: Built-in
VPN: Yes
Storage: 128GB SSD</t>
  </si>
  <si>
    <t>Gateway,Dream-Machine,Controller,Switch,SFP+</t>
  </si>
  <si>
    <t>udm-us</t>
  </si>
  <si>
    <t>UDM-US</t>
  </si>
  <si>
    <t>Ubiquiti UDM-US UniFi Dream Machine Gateway WiFi AC 4 Port Switch Controller</t>
  </si>
  <si>
    <t>https://sysnetcenter.com/7180-home_default/ubiquiti-unifi-dream-machine-udm-us-gateway-wireless-ac-switch-unifi-controller.webp</t>
  </si>
  <si>
    <t>UniFi Dream Machine All-in-One Gateway + WiFi AC + 4 Port Switch + Controller</t>
  </si>
  <si>
    <t>• Gateway + WiFi AC + 4 Port Switch + Controller
• บริหารจัดการผ่าน App
• เหมาะสำหรับ Home/SMB</t>
  </si>
  <si>
    <t>WiFi: WiFi 5 (802.11ac)
พอร์ต: 4x Gigabit
Controller: Built-in</t>
  </si>
  <si>
    <t>Gateway,Dream-Machine,Controller,WiFi5</t>
  </si>
  <si>
    <t>usg-pro-4</t>
  </si>
  <si>
    <t>USG-PRO-4</t>
  </si>
  <si>
    <t>Ubiquiti USG-PRO-4 UniFi Security Gateway Firewall Router 4 Port VLAN VPN</t>
  </si>
  <si>
    <t>https://sysnetcenter.com/4537-home_default/ubiquiti-unifi-security-gateway-usg-pro-4-firewall-router-vlan-vpn-qos.webp</t>
  </si>
  <si>
    <t>UniFi Security Gateway Pro 4 Port Firewall Router รองรับ VLAN VPN QoS Dual-Core</t>
  </si>
  <si>
    <t>• 4 Port Firewall/Router
• รองรับ VLAN, VPN, QoS
• Dual-Core 1GHz CPU
• บริหารจัดการผ่าน UniFi Controller</t>
  </si>
  <si>
    <t>พอร์ต: 4x Gigabit + 2x SFP
CPU: Dual-Core 1GHz
VPN: IPsec, OpenVPN, L2TP
QoS: Yes
VLAN: 802.1Q</t>
  </si>
  <si>
    <t>Gateway,Firewall,VPN,VLAN,QoS</t>
  </si>
  <si>
    <t>usg</t>
  </si>
  <si>
    <t>USG</t>
  </si>
  <si>
    <t>Ubiquiti USG UniFi Security Gateway Firewall Router 2 WAN VLAN VPN</t>
  </si>
  <si>
    <t>https://sysnetcenter.com/2868-home_default/ubiquiti-unifi-security-gateway-usg-firewall-router.webp</t>
  </si>
  <si>
    <t>UniFi Security Gateway Firewall Router 2 WAN VLAN VPN QoS ราคาประหยัด</t>
  </si>
  <si>
    <t>• 3 Port Gigabit (2 WAN / 1 LAN)
• Firewall, VPN, QoS, VLAN
• บริหารจัดการผ่าน UniFi Controller</t>
  </si>
  <si>
    <t>พอร์ต: 3x Gigabit (2 WAN)
VPN: IPsec, OpenVPN, L2TP
QoS: Yes
VLAN: 802.1Q</t>
  </si>
  <si>
    <t>Gateway,Firewall,VPN,VLAN</t>
  </si>
  <si>
    <t>uck-g2-ssd</t>
  </si>
  <si>
    <t>UCK-G2-SSD</t>
  </si>
  <si>
    <t>Ubiquiti UCK-G2-SSD UniFi CloudKey Gen2 Plus 1TB SSD Controller</t>
  </si>
  <si>
    <t>Controller</t>
  </si>
  <si>
    <t>https://sysnetcenter.com/13073-home_default/uck-g2-ssd-ubiquiti-unifi-cloudkey-full-unifi-app-managed-unifi.webp</t>
  </si>
  <si>
    <t>UniFi CloudKey Gen2+ พร้อม SSD 1TB สำหรับรัน UniFi Network Application และบันทึกกล้อง</t>
  </si>
  <si>
    <t>• UniFi Cloud Controller พร้อม SSD 1TB
• รัน UniFi Network + Protect Application
• รองรับ UniFi Video Recording
• PoE Powered</t>
  </si>
  <si>
    <t>Storage: 1TB SSD
App: UniFi Network + Protect
Power: PoE 802.3af
Display: Built-in LCD</t>
  </si>
  <si>
    <t>Controller,CloudKey,SSD,UniFi</t>
  </si>
  <si>
    <t>udm-se</t>
  </si>
  <si>
    <t>UDM-SE</t>
  </si>
  <si>
    <t>Ubiquiti UDM-SE UniFi Dream Machine Special Edition All-in-One 8 Port Switch</t>
  </si>
  <si>
    <t>https://sysnetcenter.com/9799-home_default/ubiquiti-unifi-dream-machine-special-edition-udm-se-enterprise-network-appliance.webp</t>
  </si>
  <si>
    <t>UniFi Dream Machine SE All-in-One Gateway + Controller + 8 Port PoE Switch + 2 SFP+ 10G</t>
  </si>
  <si>
    <t>• Gateway + Controller + PoE Switch ในตัว
• 8 Port Gigabit PoE + 2 Port SFP+ 10G
• UniFi Network + Protect Application
• HDD Bay สำหรับบันทึกกล้อง</t>
  </si>
  <si>
    <t>พอร์ต: 8x Gigabit PoE + 2x SFP+ 10G
PoE Budget: 60W
Controller: Built-in
HDD Bay: Yes</t>
  </si>
  <si>
    <t>Controller,Dream-Machine,Gateway,Switch,PoE,SFP+</t>
  </si>
  <si>
    <t>uck-g2</t>
  </si>
  <si>
    <t>UCK-G2</t>
  </si>
  <si>
    <t>Ubiquiti UCK-G2 UniFi CloudKey Gen2 Controller (Discontinued)</t>
  </si>
  <si>
    <t>https://sysnetcenter.com/6308-home_default/ubiquiti-unifi-cloud-key-gen2-uck-g2-unifi-controller.webp</t>
  </si>
  <si>
    <t>UniFi CloudKey Gen2 สำหรับรัน UniFi Network Application (Discontinued) PoE Powered</t>
  </si>
  <si>
    <t>• UniFi Cloud Controller Gen2
• รัน UniFi Network Application
• PoE Powered
• (Discontinued — มีสินค้าในสต็อก)</t>
  </si>
  <si>
    <t>App: UniFi Network
Power: PoE 802.3af
Status: Discontinued</t>
  </si>
  <si>
    <t>Controller,CloudKey,UniFi</t>
  </si>
  <si>
    <t>uck-g2-plus</t>
  </si>
  <si>
    <t>UCK-G2-PLUS</t>
  </si>
  <si>
    <t>Ubiquiti UCK-G2-PLUS UniFi CloudKey Gen2 Plus + 1TB HDD Video Recording</t>
  </si>
  <si>
    <t>https://sysnetcenter.com/6307-home_default/ubiquiti-unifi-cloud-key-gen2-plus-uck-g2-plus-unifi-controller.webp</t>
  </si>
  <si>
    <t>UniFi CloudKey Gen2+ พร้อม HDD 1TB สำหรับ UniFi Video บันทึกกล้อง Protect</t>
  </si>
  <si>
    <t>• UniFi Cloud Controller Gen2+
• พร้อม HDD 1TB สำหรับ UniFi Protect
• รัน UniFi Network + Protect
• PoE Powered</t>
  </si>
  <si>
    <t>Storage: 1TB HDD
App: UniFi Network + Protect
Power: PoE 802.3af</t>
  </si>
  <si>
    <t>Controller,CloudKey,HDD,UniFi,Protect</t>
  </si>
  <si>
    <t>ckg2-rm</t>
  </si>
  <si>
    <t>CKG2-RM</t>
  </si>
  <si>
    <t>Ubiquiti CKG2-RM CloudKey Gen2 Rack Mount Accessory 19 inch</t>
  </si>
  <si>
    <t>https://sysnetcenter.com/8070-home_default/cloud-key-g2-rack-mount-ckg2-rm-.webp</t>
  </si>
  <si>
    <t>Rack Mount Bracket 19 inch สำหรับ UCK-G2 และ UCK-G2-PLUS ติดตั้งใน Server Rack</t>
  </si>
  <si>
    <t>• Rack Mount 19 inch สำหรับ UCK-G2/UCK-G2-PLUS
• ติดตั้งใน Standard 19 inch Server Rack
• รวม Patch Panel และ Power Supply</t>
  </si>
  <si>
    <t>Compatible: UCK-G2, UCK-G2-PLUS
Rack: 19 inch Standard
Height: 1U</t>
  </si>
  <si>
    <t>Controller,Rack-Mount,CloudKey</t>
  </si>
  <si>
    <t>uc-ck</t>
  </si>
  <si>
    <t>UC-CK</t>
  </si>
  <si>
    <t>Ubiquiti UC-CK UniFi Cloud Key Controller (Discontinued)</t>
  </si>
  <si>
    <t>https://sysnetcenter.com/6303-home_default/ubiquiti-unifi-cloud-key-uc-ck-unifi-controller.webp</t>
  </si>
  <si>
    <t>UniFi Cloud Key รุ่นแรก สำหรับรัน UniFi Controller (Discontinued)</t>
  </si>
  <si>
    <t>• UniFi Cloud Controller รุ่นแรก
• รัน UniFi Network Application
• (Discontinued)</t>
  </si>
  <si>
    <t>App: UniFi Network
Power: Micro USB / PoE
Status: Discontinued</t>
  </si>
  <si>
    <t>uvc-g3-bullet</t>
  </si>
  <si>
    <t>UVC-G3-BULLET</t>
  </si>
  <si>
    <t>Ubiquiti UVC-G3-BULLET UniFi Video Camera 1080p Full HD Outdoor Bullet PoE</t>
  </si>
  <si>
    <t>Camera</t>
  </si>
  <si>
    <t>https://sysnetcenter.com/6663-home_default/ubiquiti-unifi-video-camera-af-bullet-uvc-g3-bullet-ip-camera-1080p-full-hd-outdoor.webp</t>
  </si>
  <si>
    <t>UniFi Video Camera G3 Bullet 1080p Full HD Outdoor IP Camera PoE 24VDC/802.3af IR LED</t>
  </si>
  <si>
    <t>• 1080p Full HD Outdoor Bullet Camera
• IR LED Night Vision
• Microphone ในตัว
• PoE 24VDC Passive และ 802.3af
• รองรับ UniFi Protect</t>
  </si>
  <si>
    <t>ความละเอียด: 1080p Full HD
ติดตั้ง: Outdoor Bullet
ไฟกลางคืน: IR LED
Power: 24VDC Passive / 802.3af
Management: UniFi Protect</t>
  </si>
  <si>
    <t>Camera,Outdoor,1080p,IR,PoE,Bullet</t>
  </si>
  <si>
    <t>uvc-g3-flex</t>
  </si>
  <si>
    <t>UVC-G3-FLEX</t>
  </si>
  <si>
    <t>Ubiquiti UVC-G3-FLEX UniFi Video Camera 1080p Indoor/Outdoor PoE</t>
  </si>
  <si>
    <t>https://sysnetcenter.com/6047-home_default/ubiquiti-unifi-video-camera-g3-flex-uvc-g3-flex-indoor-outdoor-poe-camera.webp</t>
  </si>
  <si>
    <t>UniFi Video Camera G3 Flex 1080p Full HD Indoor/Outdoor PoE IR LED UniFi Protect</t>
  </si>
  <si>
    <t>• 1080p Full HD Indoor/Outdoor Camera
• IR LED Night Vision
• PoE Powered
• ติดตั้งได้ทั้ง Indoor และ Outdoor
• รองรับ UniFi Protect</t>
  </si>
  <si>
    <t>ความละเอียด: 1080p Full HD
ติดตั้ง: Indoor/Outdoor
ไฟกลางคืน: IR LED
Power: PoE 802.3af
Management: UniFi Protect</t>
  </si>
  <si>
    <t>Camera,Indoor,Outdoor,1080p,IR,PoE</t>
  </si>
  <si>
    <t>uvc-g3-af</t>
  </si>
  <si>
    <t>UVC-G3-AF</t>
  </si>
  <si>
    <t>Ubiquiti UVC-G3-AF UniFi Video Camera 1080p Outdoor PoE 802.3af IR LED</t>
  </si>
  <si>
    <t>https://sysnetcenter.com/5336-home_default/ubiquiti-unifi-video-camera-uvc-g3-af-ip-camera-outdoor-1080p-full-hd.webp</t>
  </si>
  <si>
    <t>UniFi Video Camera G3 1080p Full HD Outdoor PoE 802.3af IR LED Microphone</t>
  </si>
  <si>
    <t>• 1080p Full HD Outdoor Camera
• IR LED Night Vision
• Microphone ในตัว
• PoE 802.3af Standard
• รองรับ UniFi Protect</t>
  </si>
  <si>
    <t>ความละเอียด: 1080p Full HD
ติดตั้ง: Outdoor
ไฟกลางคืน: IR LED
Power: PoE 802.3af
Management: UniFi Protect</t>
  </si>
  <si>
    <t>Camera,Outdoor,1080p,IR,PoE</t>
  </si>
  <si>
    <t>uvc-g3-dome</t>
  </si>
  <si>
    <t>UVC-G3-DOME</t>
  </si>
  <si>
    <t>Ubiquiti UVC-G3-DOME UniFi Video Camera 1080p Dome Indoor/Outdoor PoE</t>
  </si>
  <si>
    <t>https://sysnetcenter.com/3543-home_default/ubiquiti-unifi-video-camera-g3-dome-uvc-g3-dome-ip-camera-1080p-full-hd.webp</t>
  </si>
  <si>
    <t>UniFi Video Camera G3 Dome 1080p Full HD IR LED Microphone PoE UniFi Protect</t>
  </si>
  <si>
    <t>• 1080p Full HD Dome Camera
• IR LED Night Vision
• Microphone ในตัว
• PoE Powered
• รองรับ UniFi Protect</t>
  </si>
  <si>
    <t>ความละเอียด: 1080p Full HD
รูปแบบ: Dome
ไฟกลางคืน: IR LED
Power: PoE 802.3af
Management: UniFi Protect</t>
  </si>
  <si>
    <t>Camera,Dome,1080p,IR,PoE</t>
  </si>
  <si>
    <t>uvc-g3</t>
  </si>
  <si>
    <t>UVC-G3</t>
  </si>
  <si>
    <t>Ubiquiti UVC-G3 UniFi Video Camera 1080p Outdoor Bullet PoE IR LED Microphone</t>
  </si>
  <si>
    <t>https://sysnetcenter.com/3540-home_default/ubiquiti-unifi-video-camera-g3-uvc-g3-ip-camera-1080p-full-hd.webp</t>
  </si>
  <si>
    <t>UniFi Video Camera G3 1080p Full HD Outdoor Bullet PoE IR LED Microphone UniFi Protect</t>
  </si>
  <si>
    <t>• 1080p Full HD Outdoor Camera
• IR LED Night Vision
• Microphone ในตัว
• PoE Powered
• รองรับ UniFi Protect</t>
  </si>
  <si>
    <t>uvc-g3-pro</t>
  </si>
  <si>
    <t>UVC-G3-PRO</t>
  </si>
  <si>
    <t>Ubiquiti UVC-G3-PRO UniFi Video Camera 1080p Outdoor 3X Optical Zoom PoE</t>
  </si>
  <si>
    <t>https://sysnetcenter.com/6055-home_default/ubiquiti-unifi-video-camera-g3-pro-uvc-g3-pro-ip-camera-outdoor-zoom.webp</t>
  </si>
  <si>
    <t>UniFi Video Camera G3 Pro 1080p Outdoor 3x Optical Zoom IR LED Microphone PoE</t>
  </si>
  <si>
    <t>• 1080p Full HD Outdoor Camera
• 3x Optical Zoom
• IR LED Night Vision
• Microphone ในตัว
• PoE Powered</t>
  </si>
  <si>
    <t>ความละเอียด: 1080p Full HD
Zoom: 3x Optical
ติดตั้ง: Outdoor
ไฟกลางคืน: IR LED
Power: PoE 802.3af</t>
  </si>
  <si>
    <t>Camera,Outdoor,1080p,Zoom,IR,PoE</t>
  </si>
  <si>
    <t>uvc-nvr-2tb</t>
  </si>
  <si>
    <t>UVC-NVR-2TB</t>
  </si>
  <si>
    <t>Ubiquiti UVC-NVR-2TB UniFi Video NVR บันทึกกล้อง 50 ตัว HDD 2TB</t>
  </si>
  <si>
    <t>https://sysnetcenter.com/5280-home_default/ubiquiti-unifi-nvr-uvc-nvr-2tb-unifi-video-hdd-2tb.webp</t>
  </si>
  <si>
    <t>UniFi Video NVR บันทึกกล้อง Ubiquiti สูงสุด 50 กล้อง H.264 HDD 2TB</t>
  </si>
  <si>
    <t>• Network Video Recorder รองรับ 50 กล้อง
• H.264 Recording
• HDD 2TB
• บริหารจัดการผ่าน UniFi Video App</t>
  </si>
  <si>
    <t>Max Cameras: 50
Recording: H.264
Storage: 2TB HDD
Management: UniFi Video</t>
  </si>
  <si>
    <t>NVR,Camera,2TB,H264,Recording</t>
  </si>
  <si>
    <t>airvision-nvr</t>
  </si>
  <si>
    <t>AirVision-NVR</t>
  </si>
  <si>
    <t>Ubiquiti AirVision NVR บันทึกกล้อง airCam H.264 HDD 500GB</t>
  </si>
  <si>
    <t>https://sysnetcenter.com/2278-home_default/ubiquiti-airvision-nvr-aircam-h264-hdd-500gb.webp</t>
  </si>
  <si>
    <t>Ubiquiti AirVision NVR สำหรับบันทึกกล้อง airCam มาตรฐาน H.264 พร้อม HDD 500GB</t>
  </si>
  <si>
    <t>• NVR สำหรับกล้อง airCam
• H.264 Recording
• HDD 500GB
• บริหารจัดการผ่าน AirVision App</t>
  </si>
  <si>
    <t>Recording: H.264
Storage: 500GB HDD
Compatible: airCam Series</t>
  </si>
  <si>
    <t>NVR,Camera,H264,airCam</t>
  </si>
  <si>
    <t>uacc-poe-plus-25g</t>
  </si>
  <si>
    <t>UACC-PoE+</t>
  </si>
  <si>
    <t>Ubiquiti UACC-PoE+ 2.5G PoE Injector 802.3af/at 30W</t>
  </si>
  <si>
    <t>Accessory</t>
  </si>
  <si>
    <t>https://www.sys2u.online/images/20250307-144624-1.jpg</t>
  </si>
  <si>
    <t>https://www.sys2u.online/images/20250307-144649-3.jpg</t>
  </si>
  <si>
    <t>https://www.sys2u.online/images/20250307-144636-2.jpg</t>
  </si>
  <si>
    <t>PoE Injector พอร์ต 2.5G รองรับ 802.3af/at กำลังไฟ 30W สำหรับอุปกรณ์ UniFi</t>
  </si>
  <si>
    <t>• PoE Injector พอร์ต 2.5G Ethernet
• รองรับ 802.3af/at กำลังไฟ 30W
• เหมาะสำหรับอุปกรณ์ UniFi ที่ต้องการ PoE</t>
  </si>
  <si>
    <t>Standard: 802.3af/at
Port: 2.5G Ethernet
Power Output: 30W
Input: 100-240VAC</t>
  </si>
  <si>
    <t>PoE,2.5G,Injector</t>
  </si>
  <si>
    <t>uacc-om-mm-1g-d</t>
  </si>
  <si>
    <t>UACC-OM-MM-1G-D</t>
  </si>
  <si>
    <t>Ubiquiti UACC-OM-MM-1G-D SFP Module LC Multi-Mode 1.25Gbps 550m (Pack 2)</t>
  </si>
  <si>
    <t>https://high-wireless.com/wp-content/uploads/2022/04/uf-mm-1g-front.jpg</t>
  </si>
  <si>
    <t>https://high-wireless.com/wp-content/uploads/2022/04/uf-mm-1g-back.jpg</t>
  </si>
  <si>
    <t>SFP Module LC Multi-Mode Simplex 1.25Gbps ระยะสูงสุด 550m (แพ็ค 2 ชิ้น)</t>
  </si>
  <si>
    <t>• SFP Module LC Multi-Mode Simplex
• ความเร็ว 1.25Gbps
• ระยะสูงสุด 550m
• แพ็ค 2 ชิ้น</t>
  </si>
  <si>
    <t>Type: SFP LC Multi-Mode
Speed: 1.25Gbps
Max Distance: 550m
Pack: 2 pcs</t>
  </si>
  <si>
    <t>SFP,Multi-Mode,1G</t>
  </si>
  <si>
    <t>uacc-om-sm-1g-s</t>
  </si>
  <si>
    <t>UACC-OM-SM-1G-S</t>
  </si>
  <si>
    <t>Ubiquiti UACC-OM-SM-1G-S SFP Module LC Single-Mode 1.25Gbps 3km (Pack 2)</t>
  </si>
  <si>
    <t>https://high-wireless.com/wp-content/uploads/2022/04/uf-sm-1g-s-front.jpg</t>
  </si>
  <si>
    <t>https://high-wireless.com/wp-content/uploads/2022/04/uf-sm-1g-s-back.jpg</t>
  </si>
  <si>
    <t>SFP Module LC Single-Mode Simplex 1.25Gbps ระยะสูงสุด 3km (แพ็ค 2 ชิ้น)</t>
  </si>
  <si>
    <t>• SFP Module LC Single-Mode Simplex
• ความเร็ว 1.25Gbps
• ระยะสูงสุด 3km
• แพ็ค 2 ชิ้น</t>
  </si>
  <si>
    <t>Type: SFP LC Single-Mode
Speed: 1.25Gbps
Max Distance: 3km
Pack: 2 pcs</t>
  </si>
  <si>
    <t>SFP,Single-Mode,1G</t>
  </si>
  <si>
    <t>uacc-om-mm-10g-d</t>
  </si>
  <si>
    <t>UACC-OM-MM-10G-D</t>
  </si>
  <si>
    <t>Ubiquiti UACC-OM-MM-10G-D SFP+ Module Multi-Mode 10Gbps 300m</t>
  </si>
  <si>
    <t>https://high-wireless.com/wp-content/uploads/2022/04/uf-mm-10g-front.jpg</t>
  </si>
  <si>
    <t>https://high-wireless.com/wp-content/uploads/2022/04/uf-mm-10g-back.jpg</t>
  </si>
  <si>
    <t>SFP+ Module Multi-Mode 10Gbps ระยะสูงสุด 300m สำหรับ UniFi Switch</t>
  </si>
  <si>
    <t>• SFP+ Module Multi-Mode
• ความเร็ว 10Gbps
• ระยะสูงสุด 300m</t>
  </si>
  <si>
    <t>Type: SFP+ Multi-Mode
Speed: 10Gbps
Max Distance: 300m</t>
  </si>
  <si>
    <t>SFP+,Multi-Mode,10G</t>
  </si>
  <si>
    <t>uacc-om-sm-10g-d</t>
  </si>
  <si>
    <t>UACC-OM-SM-10G-D</t>
  </si>
  <si>
    <t>Ubiquiti UACC-OM-SM-10G-D SFP+ Module Single-Mode 10Gbps 10km</t>
  </si>
  <si>
    <t>https://high-wireless.com/wp-content/uploads/2022/04/uf-sm-10g-front.jpg</t>
  </si>
  <si>
    <t>https://high-wireless.com/wp-content/uploads/2022/04/uf-sm-10g-back.jpg</t>
  </si>
  <si>
    <t>SFP+ Module Single-Mode 10Gbps ระยะสูงสุด 10km สำหรับ UniFi Switch</t>
  </si>
  <si>
    <t>• SFP+ Module Single-Mode
• ความเร็ว 10Gbps
• ระยะสูงสุด 10km</t>
  </si>
  <si>
    <t>Type: SFP+ Single-Mode
Speed: 10Gbps
Max Distance: 10km</t>
  </si>
  <si>
    <t>SFP+,Single-Mode,10G</t>
  </si>
  <si>
    <t>uacc-om-sm-10g-s</t>
  </si>
  <si>
    <t>UACC-OM-SM-10G-S</t>
  </si>
  <si>
    <t>Ubiquiti UACC-OM-SM-10G-S SFP+ Module Single-Mode 10Gbps Simplex (Pack 2)</t>
  </si>
  <si>
    <t>https://high-wireless.com/wp-content/uploads/2022/04/uf-sm-10g-s-front.jpg</t>
  </si>
  <si>
    <t>https://high-wireless.com/wp-content/uploads/2022/04/uf-sm-10g-s-back.jpg</t>
  </si>
  <si>
    <t>SFP+ Module LC Single-Mode Simplex 10Gbps (แพ็ค 2 ชิ้น)</t>
  </si>
  <si>
    <t>• SFP+ Module LC Single-Mode Simplex
• ความเร็ว 10Gbps
• แพ็ค 2 ชิ้น</t>
  </si>
  <si>
    <t>Type: SFP+ LC Single-Mode Simplex
Speed: 10Gbps
Pack: 2 pcs</t>
  </si>
  <si>
    <t>uacc-om-sfp28-sr</t>
  </si>
  <si>
    <t>UACC-OM-SFP28-SR</t>
  </si>
  <si>
    <t>Ubiquiti UACC-OM-SFP28-SR SFP28 Module Multi-Mode 25Gbps 100m</t>
  </si>
  <si>
    <t>https://high-wireless.com/wp-content/uploads/2023/10/UACC-OM-SFP28-SR.jpg</t>
  </si>
  <si>
    <t>https://high-wireless.com/wp-content/uploads/2023/10/UACC-OM-SFP28-SR_04.jpg</t>
  </si>
  <si>
    <t>https://high-wireless.com/wp-content/uploads/2023/10/UACC-OM-SFP28-SR_03.jpg</t>
  </si>
  <si>
    <t>SFP28 Optical Module Multi-Mode 25Gbps ระยะสูงสุด 100m</t>
  </si>
  <si>
    <t>• SFP28 Module Multi-Mode
• ความเร็ว 25Gbps
• ระยะสูงสุด 100m</t>
  </si>
  <si>
    <t>Type: SFP28 Multi-Mode
Speed: 25Gbps
Max Distance: 100m</t>
  </si>
  <si>
    <t>SFP28,Multi-Mode,25G</t>
  </si>
  <si>
    <t>uacc-om-sfp28-lr</t>
  </si>
  <si>
    <t>UACC-OM-SFP28-LR</t>
  </si>
  <si>
    <t>Ubiquiti UACC-OM-SFP28-LR SFP28 Module Single-Mode 25Gbps 10km</t>
  </si>
  <si>
    <t>https://sysnetcenter.com/12253-large_default/ubiquiti-uacc-om-sfp28-lr-25gbps-single-mode-optical-module.webp</t>
  </si>
  <si>
    <t>https://sysnetcenter.com/12252-large_default/ubiquiti-uacc-om-sfp28-lr-25gbps-single-mode-optical-module.webp</t>
  </si>
  <si>
    <t>https://sysnetcenter.com/12254-large_default/ubiquiti-uacc-om-sfp28-lr-25gbps-single-mode-optical-module.webp</t>
  </si>
  <si>
    <t>SFP28 Optical Module Single-Mode 25Gbps ระยะสูงสุด 10km</t>
  </si>
  <si>
    <t>• SFP28 Module Single-Mode
• ความเร็ว 25Gbps
• ระยะสูงสุด 10km</t>
  </si>
  <si>
    <t>Type: SFP28 Single-Mode
Speed: 25Gbps
Max Distance: 10km</t>
  </si>
  <si>
    <t>SFP28,Single-Mode,25G</t>
  </si>
  <si>
    <t>uacc-cm-rj45-1g</t>
  </si>
  <si>
    <t>UACC-CM-RJ45-1G</t>
  </si>
  <si>
    <t>Ubiquiti UACC-CM-RJ45-1G SFP to RJ45 Copper Adapter 1Gbps</t>
  </si>
  <si>
    <t>https://sysnetcenter.com/12250-large_default/uacc-cm-rj45-1g-ubiquiti-unifi-sfp-to-rj45-adapter.webp</t>
  </si>
  <si>
    <t>https://sysnetcenter.com/12248-large_default/uacc-cm-rj45-1g-ubiquiti-unifi-sfp-to-rj45-adapter.webp</t>
  </si>
  <si>
    <t>https://sysnetcenter.com/12249-large_default/uacc-cm-rj45-1g-ubiquiti-unifi-sfp-to-rj45-adapter.webp</t>
  </si>
  <si>
    <t>SFP to RJ45 Copper Adapter 1Gbps สำหรับอุปกรณ์ UniFi ที่มี SFP Port</t>
  </si>
  <si>
    <t>• SFP to RJ45 Copper Module
• ความเร็ว 1Gbps
• ใช้งานกับ Switch UniFi ที่มี SFP Port</t>
  </si>
  <si>
    <t>Type: SFP to RJ45 Adapter
Speed: 1Gbps
Connector: RJ45</t>
  </si>
  <si>
    <t>SFP,RJ45,Adapter,1G</t>
  </si>
  <si>
    <t>uacc-cm-rj45-mg</t>
  </si>
  <si>
    <t>UACC-CM-RJ45-MG</t>
  </si>
  <si>
    <t>Ubiquiti UACC-CM-RJ45-MG SFP+ to RJ45 Multi-Gigabit Adapter 1/2.5/5/10Gbps</t>
  </si>
  <si>
    <t>https://sysnetcenter.com/12247-large_default/uacc-cm-rj45-mg-unifi-sfp-plus-to-rj45-adapter-10gbps.webp</t>
  </si>
  <si>
    <t>https://sysnetcenter.com/12245-large_default/uacc-cm-rj45-mg-unifi-sfp-plus-to-rj45-adapter-10gbps.webp</t>
  </si>
  <si>
    <t>https://sysnetcenter.com/12246-large_default/uacc-cm-rj45-mg-unifi-sfp-plus-to-rj45-adapter-10gbps.webp</t>
  </si>
  <si>
    <t>SFP+ to RJ45 Multi-Gigabit Adapter รองรับ 1/2.5/5/10Gbps Auto-negotiation</t>
  </si>
  <si>
    <t>• SFP+ to RJ45 Multi-Gigabit Module
• รองรับ 1/2.5/5/10Gbps Auto-negotiation
• ใช้งานกับ Switch UniFi SFP+ Port</t>
  </si>
  <si>
    <t>Type: SFP+ to RJ45 Adapter
Speed: 1/2.5/5/10Gbps
Connector: RJ45</t>
  </si>
  <si>
    <t>SFP+,RJ45,Adapter,Multi-Gigabit</t>
  </si>
  <si>
    <t>uacc-lre</t>
  </si>
  <si>
    <t>UACC-LRE</t>
  </si>
  <si>
    <t>Ubiquiti UACC-LRE Long Range Ethernet Repeater ขยายระยะสาย LAN ถึง 1km</t>
  </si>
  <si>
    <t>https://sysnetcenter.com/12241-large_default/uacc-lre-unifi-long-range-ethernet-repeater.webp</t>
  </si>
  <si>
    <t>https://sysnetcenter.com/12243-large_default/uacc-lre-unifi-long-range-ethernet-repeater.webp</t>
  </si>
  <si>
    <t>https://sysnetcenter.com/12244-large_default/uacc-lre-unifi-long-range-ethernet-repeater.webp</t>
  </si>
  <si>
    <t>Long Range Ethernet Repeater เพิ่มระยะสาย LAN สูงสุด 1km รองรับ PoE passthrough</t>
  </si>
  <si>
    <t>• Long Range Ethernet Repeater
• เพิ่มระยะสาย LAN สูงสุด 1km
• รองรับ PoE Passthrough
• ป้องกัน ESD จากฟ้าผ่า</t>
  </si>
  <si>
    <t>Max Distance: 1km
PoE: Passthrough
Protection: ESD</t>
  </si>
  <si>
    <t>LRE,Long-Range,PoE</t>
  </si>
  <si>
    <t>u-poe-at</t>
  </si>
  <si>
    <t>U-POE-at</t>
  </si>
  <si>
    <t>Ubiquiti U-POE-at PoE+ Injector Gigabit 802.3at 30W</t>
  </si>
  <si>
    <t>https://sysnetcenter.com/8969-large_default/ubiquiti-u-poe-at-poe-injector-port-gigabit-8023at-30w.webp</t>
  </si>
  <si>
    <t>https://sysnetcenter.com/8972-large_default/ubiquiti-u-poe-at-poe-injector-port-gigabit-8023at-30w.webp</t>
  </si>
  <si>
    <t>https://sysnetcenter.com/8967-large_default/ubiquiti-u-poe-at-poe-injector-port-gigabit-8023at-30w.webp</t>
  </si>
  <si>
    <t>PoE+ Injector พอร์ต Gigabit 802.3af/at กำลังไฟ 30W มี Reset Button</t>
  </si>
  <si>
    <t>• PoE+ Injector พอร์ต Gigabit
• รองรับ 802.3af/at กำลังไฟ 30W
• Input/Output: 10/100/1000 Mbps
• มีปุ่ม Reset</t>
  </si>
  <si>
    <t>Standard: 802.3af/at
Port: Gigabit
Power Output: 30W
Input: 100-240VAC</t>
  </si>
  <si>
    <t>PoE+,Gigabit,Injector</t>
  </si>
  <si>
    <t>n-sw</t>
  </si>
  <si>
    <t>N-SW</t>
  </si>
  <si>
    <t>Ubiquiti Nano Switch N-SW Outdoor 4-Port PoE Passthrough</t>
  </si>
  <si>
    <t>https://www.sys2u.online/images/20190806-122631-1.jpg</t>
  </si>
  <si>
    <t>https://www.sys2u.online/images/20190806-124349-3.jpg</t>
  </si>
  <si>
    <t>https://www.sys2u.online/images/20190806-124238-2.jpg</t>
  </si>
  <si>
    <t>Outdoor Mini Switch 4 Port PoE Passthrough สำหรับ NanoStation และ airMAX</t>
  </si>
  <si>
    <t>• Outdoor 4-Port PoE Passthrough Switch
• สำหรับ NanoStation และ airMAX Outdoor
• Weatherproof Housing</t>
  </si>
  <si>
    <t>Ports: 4x RJ45
PoE: Passthrough
Install: Outdoor</t>
  </si>
  <si>
    <t>Outdoor,PoE,NanoStation</t>
  </si>
  <si>
    <t>eth-sp-g2</t>
  </si>
  <si>
    <t>ETH-SP-G2</t>
  </si>
  <si>
    <t>Ubiquiti ETH-SP-G2 Ethernet Surge Protector ESD Protection Gigabit</t>
  </si>
  <si>
    <t>https://www.sys2u.online/images/20170417-211520-1.jpg</t>
  </si>
  <si>
    <t>https://www.sys2u.online/images/20170417-211638-2.jpg</t>
  </si>
  <si>
    <t>https://www.sys2u.online/images/20170417-211831-3.jpg</t>
  </si>
  <si>
    <t>Ethernet ESD/Surge Protector ป้องกันฟ้าผ่าและไฟกระชาก รองรับ Gigabit</t>
  </si>
  <si>
    <t>• Ethernet Grounded ESD/Surge Protector
• ป้องกันฟ้าผ่าและไฟกระชาก
• รองรับ Gigabit
• ติดตั้งง่าย Inline</t>
  </si>
  <si>
    <t>Port: Gigabit Ethernet
Protection: ESD/Surge
Install: Inline (RJ45)</t>
  </si>
  <si>
    <t>ESD,Surge,Protection,Gigabit</t>
  </si>
  <si>
    <t>u-poe-af</t>
  </si>
  <si>
    <t>U-POE-af</t>
  </si>
  <si>
    <t>Ubiquiti U-POE-af PoE Injector Gigabit 802.3af 48VDC 15.4W</t>
  </si>
  <si>
    <t>https://sysnetcenter.com/6584-large_default/ubiquiti-u-poe-af-poe-injector-48vdc-15w-port-gigabit-reset.webp</t>
  </si>
  <si>
    <t>https://sysnetcenter.com/6583-large_default/ubiquiti-u-poe-af-poe-injector-48vdc-15w-port-gigabit-reset.webp</t>
  </si>
  <si>
    <t>https://sysnetcenter.com/6582-large_default/ubiquiti-u-poe-af-poe-injector-48vdc-15w-port-gigabit-reset.webp</t>
  </si>
  <si>
    <t>PoE Injector Gigabit 802.3af 48VDC 15.4W มี Reset Button</t>
  </si>
  <si>
    <t>• PoE Injector พอร์ต Gigabit
• รองรับ 802.3af 48VDC 15.4W
• มีปุ่ม Reset สำหรับ Restart อุปกรณ์</t>
  </si>
  <si>
    <t>Standard: 802.3af
Port: Gigabit
Voltage: 48VDC
Power Output: 15.4W</t>
  </si>
  <si>
    <t>PoE,Gigabit,Injector</t>
  </si>
  <si>
    <t>uma-d</t>
  </si>
  <si>
    <t>UMA-D</t>
  </si>
  <si>
    <t>Ubiquiti UMA-D UniFi Directional Dual-Band Antenna for UAP-AC-M</t>
  </si>
  <si>
    <t>https://sysnetcenter.com/6265-large_default/ubiquiti-unifi-uma-d-directional-dual-band-antenna-uap-ac-m.webp</t>
  </si>
  <si>
    <t>https://sysnetcenter.com/6267-large_default/ubiquiti-unifi-uma-d-directional-dual-band-antenna-uap-ac-m.webp</t>
  </si>
  <si>
    <t>https://sysnetcenter.com/6266-large_default/ubiquiti-unifi-uma-d-directional-dual-band-antenna-uap-ac-m.webp</t>
  </si>
  <si>
    <t>Directional Dual-Band Antenna สำหรับ UAP-AC-M ขยายสัญญาณทิศทาง</t>
  </si>
  <si>
    <t>• Directional Dual-Band Antenna
• ออกแบบสำหรับ UAP-AC-M
• ขยายสัญญาณทิศทางเดียว</t>
  </si>
  <si>
    <t>Type: Directional Dual-Band
Band: 2.4/5GHz
Compatible: UAP-AC-M</t>
  </si>
  <si>
    <t>Antenna,Directional,Dual-Band</t>
  </si>
  <si>
    <t>u7-iw</t>
  </si>
  <si>
    <t>U7-IW</t>
  </si>
  <si>
    <t>Ubiquiti U7-IW UniFi WiFi 7 In-Wall AP 4-Stream Dual-Band 4.98Gbps</t>
  </si>
  <si>
    <t>https://sysnetcenter.com/14150-home_default/u7-iw-unifi-wall-mounted-4-stream-wifi-7-ap-dual-band-498gbps.webp</t>
  </si>
  <si>
    <t>UniFi WiFi 7 Wall-Mount AP 4-Stream Dual-Band 4.98Gbps พอร์ต 2.5G LAN ในตัว</t>
  </si>
  <si>
    <t>• WiFi 7 (802.11be) Dual-Band 4-Stream
• ความเร็วสูงสุด 4.98Gbps
• พอร์ต 2.5G LAN ในตัว
• ติดตั้งแบบ Wall Mount
• บริหารจัดการผ่าน UniFi Controller</t>
  </si>
  <si>
    <t>มาตรฐาน Wi-Fi: WiFi 7 (802.11be)
ความเร็วสูงสุด: 4.98Gbps
Stream: 4-Stream
ย่านความถี่: Dual-Band 2.4/5GHz
พอร์ต LAN: 1x 2.5G Ethernet
Power: PoE 802.3at
ติดตั้ง: Wall Mount</t>
  </si>
  <si>
    <t>WiFi7,Wall-Mount,2.5G,PoE</t>
  </si>
  <si>
    <t>u7-pro-xg</t>
  </si>
  <si>
    <t>U7-Pro-XG</t>
  </si>
  <si>
    <t>Ubiquiti U7-Pro-XG UniFi WiFi 7 Ceiling AP Tri-Band 6-Stream 10.8Gbps</t>
  </si>
  <si>
    <t>https://sysnetcenter.com/14144-home_default/u7-pro-xg-unifi-ceiling-mounted-6-stream-wifi-7-ap-tri-band-10gbps.webp</t>
  </si>
  <si>
    <t>UniFi WiFi 7 Ceiling AP 6-Stream Tri-Band 10.8Gbps รองรับ 300+ clients</t>
  </si>
  <si>
    <t>• WiFi 7 (802.11be) Tri-Band 6-Stream
• ความเร็วสูงสุด 10.8Gbps
• รองรับ 300+ clients
• ติดตั้งแบบ Ceiling</t>
  </si>
  <si>
    <t>มาตรฐาน Wi-Fi: WiFi 7 (802.11be)
ความเร็วสูงสุด: 10.8Gbps
Stream: 6-Stream Tri-Band
ย่านความถี่: 2.4/5/6GHz
ผู้ใช้แนะนำ: 300+ Clients
Power: PoE 802.3at
ติดตั้ง: Ceiling Mount</t>
  </si>
  <si>
    <t>WiFi7,Tri-Band,Ceiling,6Stream</t>
  </si>
  <si>
    <t>u7-pro-wall</t>
  </si>
  <si>
    <t>U7-Pro-Wall</t>
  </si>
  <si>
    <t>Ubiquiti U7-Pro-Wall UniFi WiFi 7 Wall AP Tri-Band 10.8Gbps 2.5G LAN</t>
  </si>
  <si>
    <t>https://sysnetcenter.com/14092-home_default/u7-pro-wall-ubiquiti-unifi-7-pro-wall-access-point-wi-fi-7-tri-band-93gbps.webp</t>
  </si>
  <si>
    <t>UniFi WiFi 7 Wall AP Tri-Band 10.8Gbps พอร์ต 2.5G LAN รองรับ 300+ clients</t>
  </si>
  <si>
    <t>• WiFi 7 (802.11be) Tri-Band
• ความเร็วสูงสุด 10.8Gbps
• พอร์ต 2.5G LAN
• รองรับ 300+ clients
• ติดตั้งแบบ Wall</t>
  </si>
  <si>
    <t>มาตรฐาน Wi-Fi: WiFi 7 (802.11be)
ความเร็วสูงสุด: 10.8Gbps
ย่านความถี่: Tri-Band 2.4/5/6GHz
พอร์ต LAN: 1x 2.5G Ethernet
ผู้ใช้แนะนำ: 300+ Clients
Power: PoE 802.3at
ติดตั้ง: Wall Mount</t>
  </si>
  <si>
    <t>WiFi7,Tri-Band,Wall-Mount,2.5G</t>
  </si>
  <si>
    <t>u7-lr</t>
  </si>
  <si>
    <t>U7-LR</t>
  </si>
  <si>
    <t>Ubiquiti U7-LR UniFi WiFi 7 Long-Range Ceiling AP Dual-Band 4.98Gbps</t>
  </si>
  <si>
    <t>https://sysnetcenter.com/14093-home_default/u7-lr-ubiquiti-unifi-7-long-range-access-point-wi-fi-7-dual-band-498gbps.webp</t>
  </si>
  <si>
    <t>UniFi WiFi 7 Long-Range Ceiling AP Dual-Band 4.98Gbps พอร์ต 2.5G LAN รองรับ 300+ clients</t>
  </si>
  <si>
    <t>• WiFi 7 (802.11be) Dual-Band Long-Range
• ความเร็วสูงสุด 4.98Gbps
• พอร์ต 2.5G LAN
• รองรับ 300+ clients</t>
  </si>
  <si>
    <t>มาตรฐาน Wi-Fi: WiFi 7 (802.11be)
ความเร็วสูงสุด: 4.98Gbps
ย่านความถี่: Dual-Band 2.4/5GHz
พอร์ต LAN: 1x 2.5G Ethernet
ผู้ใช้แนะนำ: 300+ Clients
Power: PoE 802.3at
ติดตั้ง: Ceiling Long-Range</t>
  </si>
  <si>
    <t>WiFi7,Long-Range,Dual-Band,2.5G</t>
  </si>
  <si>
    <t>u7-lite</t>
  </si>
  <si>
    <t>U7-Lite</t>
  </si>
  <si>
    <t>Ubiquiti U7-Lite UniFi WiFi 7 Lite Ceiling AP Dual-Band 4.98Gbps</t>
  </si>
  <si>
    <t>https://sysnetcenter.com/13647-home_default/u7-lite-ubiquiti-unifi-7-lite-access-point-wi-fi-7-dual-band.webp</t>
  </si>
  <si>
    <t>UniFi WiFi 7 Lite Ceiling AP Dual-Band 4.98Gbps พอร์ต 2.5G LAN รองรับ 200 clients</t>
  </si>
  <si>
    <t>• WiFi 7 (802.11be) Dual-Band
• ความเร็วสูงสุด 4.98Gbps
• พอร์ต 2.5G LAN
• รองรับ 200 clients
• ราคาประหยัดสำหรับ WiFi 7</t>
  </si>
  <si>
    <t>มาตรฐาน Wi-Fi: WiFi 7 (802.11be)
ความเร็วสูงสุด: 4.98Gbps
ย่านความถี่: Dual-Band 2.4/5GHz
พอร์ต LAN: 1x 2.5G Ethernet
ผู้ใช้แนะนำ: 200 Clients
Power: PoE 802.3af
ติดตั้ง: Ceiling Mount</t>
  </si>
  <si>
    <t>WiFi7,Dual-Band,Ceiling,2.5G</t>
  </si>
  <si>
    <t>u7-pro-max</t>
  </si>
  <si>
    <t>U7-Pro-Max</t>
  </si>
  <si>
    <t>Ubiquiti U7-Pro-Max UniFi WiFi 7 Pro MAX Tri-Band 4x4 MIMO 14.98Gbps</t>
  </si>
  <si>
    <t>https://sysnetcenter.com/13111-home_default/u7-pro-max-ubiquiti-unifi-7-pro-max-access-point-wi-fi-7-tri-band-4x4-93gbps.webp</t>
  </si>
  <si>
    <t>UniFi WiFi 7 Pro MAX Tri-Band 4x4 MIMO 14.98Gbps รองรับ 500+ clients ระดับองค์กร</t>
  </si>
  <si>
    <t>• WiFi 7 (802.11be) Tri-Band 4x4 MIMO
• ความเร็วสูงสุด 14.98Gbps
• รองรับ 500+ clients
• ระดับ Enterprise</t>
  </si>
  <si>
    <t>มาตรฐาน Wi-Fi: WiFi 7 (802.11be)
ความเร็วสูงสุด: 14.98Gbps
MIMO: 4x4 Tri-Band
ย่านความถี่: 2.4/5/6GHz
ผู้ใช้แนะนำ: 500+ Clients
Power: PoE 802.3bt
ติดตั้ง: Ceiling Enterprise</t>
  </si>
  <si>
    <t>WiFi7,Tri-Band,4x4MIMO,Enterprise</t>
  </si>
  <si>
    <t>u7-outdoor</t>
  </si>
  <si>
    <t>U7-Outdoor</t>
  </si>
  <si>
    <t>Ubiquiti U7-Outdoor UniFi WiFi 7 Outdoor AP Dual-Band 2x2 MIMO 4.98Gbps</t>
  </si>
  <si>
    <t>https://sysnetcenter.com/12229-home_default/u7-outdoor-ubiquiti-unifi-access-point-wifi-7-2x2-mu-mimo.webp</t>
  </si>
  <si>
    <t>UniFi WiFi 7 Outdoor AP 2x2 MIMO 240MHz Bandwidth 4.98Gbps พอร์ต 2.5G IP67</t>
  </si>
  <si>
    <t>• WiFi 7 (802.11be) Dual-Band Outdoor
• 2x2 MU-MIMO 240MHz Bandwidth
• ความเร็วสูงสุด 4.98Gbps
• พอร์ต 2.5G LAN
• IP67 กันน้ำ กันฝุ่น</t>
  </si>
  <si>
    <t>มาตรฐาน Wi-Fi: WiFi 7 (802.11be)
ความเร็วสูงสุด: 4.98Gbps
MIMO: 2x2 MU-MIMO
Bandwidth: 240MHz
พอร์ต LAN: 1x 2.5G Ethernet
Power: PoE 802.3at
ติดตั้ง: Outdoor IP67</t>
  </si>
  <si>
    <t>WiFi7,Outdoor,2x2MIMO,2.5G,IP67</t>
  </si>
  <si>
    <t>uk-ultra</t>
  </si>
  <si>
    <t>UK-Ultra</t>
  </si>
  <si>
    <t>Ubiquiti UK-Ultra UniFi Swiss Army Knife AP WiFi 5 2x2 MIMO 1.66Gbps</t>
  </si>
  <si>
    <t>https://sysnetcenter.com/12228-home_default/uk-ultra-ubiquiti-unifi-swiss-army-knife-access-point-wifi-5-2x2-mimo.webp</t>
  </si>
  <si>
    <t>UniFi Swiss Army Knife AP WiFi 5 2x2 MIMO 80MHz 1.66Gbps รองรับ External Antenna</t>
  </si>
  <si>
    <t>• WiFi 5 (802.11ac) 2x2 MIMO
• ความเร็วสูงสุด 1.66Gbps
• รองรับ External Antenna
• ติดตั้งได้หลายแบบ</t>
  </si>
  <si>
    <t>มาตรฐาน Wi-Fi: WiFi 5 (802.11ac)
ความเร็วสูงสุด: 1.66Gbps
MIMO: 2x2
Bandwidth: 80MHz
Antenna: External (Optional)
Power: PoE 802.3af</t>
  </si>
  <si>
    <t>WiFi5,2x2MIMO</t>
  </si>
  <si>
    <t>u6-mesh-pro</t>
  </si>
  <si>
    <t>U6-Mesh-Pro</t>
  </si>
  <si>
    <t>Ubiquiti U6-Mesh-Pro UniFi WiFi 6 Outdoor Mesh AP 2x2 MIMO 3Gbps</t>
  </si>
  <si>
    <t>https://sysnetcenter.com/12204-home_default/u6-mesh-pro-ubiquiti-access-point-wifi-6-mesh-2x2-mimo-160mhz-24gbps.webp</t>
  </si>
  <si>
    <t>UniFi WiFi 6 Outdoor Mesh AP 2x2 MIMO 160MHz 3Gbps มี PoE Adapter ในกล่อง</t>
  </si>
  <si>
    <t>• WiFi 6 (802.11ax) Mesh AP Outdoor
• 2x2 MU-MIMO + OFDMA
• ความเร็วสูงสุด 3Gbps 160MHz
• WiFi Mesh ขยายสัญญาณ
• มี PoE Adapter ในกล่อง</t>
  </si>
  <si>
    <t>มาตรฐาน Wi-Fi: WiFi 6 (802.11ax)
ความเร็วสูงสุด: 3Gbps
MIMO: 2x2 MU-MIMO
Bandwidth: 160MHz
Power: PoE 802.3at (Included)</t>
  </si>
  <si>
    <t>WiFi6,Mesh,Outdoor,2x2MIMO,160MHz</t>
  </si>
  <si>
    <t>u7-pro</t>
  </si>
  <si>
    <t>U7-Pro</t>
  </si>
  <si>
    <t>Ubiquiti U7-Pro UniFi WiFi 7 Pro Ceiling AP Tri-Band 9.3Gbps 2.5G LAN</t>
  </si>
  <si>
    <t>https://sysnetcenter.com/12051-home_default/ubiquiti-unifi-7-pro-access-point-u7-pro-wifi-7-tri-band-9gbps.webp</t>
  </si>
  <si>
    <t>UniFi WiFi 7 Pro Ceiling AP Tri-Band 9.3Gbps พอร์ต 2.5G LAN รองรับ 300 clients</t>
  </si>
  <si>
    <t>• WiFi 7 (802.11be) Tri-Band
• ความเร็วสูงสุด 9.3Gbps
• พอร์ต 2.5G LAN
• รองรับ 300 clients</t>
  </si>
  <si>
    <t>มาตรฐาน Wi-Fi: WiFi 7 (802.11be)
ความเร็วสูงสุด: 9.3Gbps
ย่านความถี่: Tri-Band 2.4/5/6GHz
พอร์ต LAN: 1x 2.5G Ethernet
ผู้ใช้แนะนำ: 300 Clients
Power: PoE 802.3at
ติดตั้ง: Ceiling Mount</t>
  </si>
  <si>
    <t>WiFi7,Tri-Band,Ceiling,2.5G</t>
  </si>
  <si>
    <t>u6-plus</t>
  </si>
  <si>
    <t>U6+</t>
  </si>
  <si>
    <t>Ubiquiti U6+ UniFi WiFi 6 Plus Ceiling AP Dual-Band 2x2 MIMO 2.9Gbps</t>
  </si>
  <si>
    <t>https://sysnetcenter.com/12202-home_default/ubiquiti-unifi-6-plus-u6-wi-fi-6-access-point-dual-band-2x2-mimo.webp</t>
  </si>
  <si>
    <t>UniFi WiFi 6 Plus Ceiling AP Dual-Band 2x2 MIMO 2.9Gbps เสาอากาศ 5.4dBi</t>
  </si>
  <si>
    <t>• WiFi 6 (802.11ax) Dual-Band
• 2x2 MU-MIMO + OFDMA
• ความเร็วสูงสุด 2.9Gbps
• เสาอากาศ 5.4dBi ในตัว</t>
  </si>
  <si>
    <t>มาตรฐาน Wi-Fi: WiFi 6 (802.11ax)
ความเร็วสูงสุด: 2.9Gbps
MIMO: 2x2 MU-MIMO
Antenna Gain: 5.4dBi
ย่านความถี่: Dual-Band 2.4/5GHz
Power: PoE 802.3af
ติดตั้ง: Ceiling Mount</t>
  </si>
  <si>
    <t>WiFi6,Dual-Band,Ceiling,2x2MIMO</t>
  </si>
  <si>
    <t>u6-iw</t>
  </si>
  <si>
    <t>U6-IW</t>
  </si>
  <si>
    <t>Ubiquiti U6-IW UniFi WiFi 6 In-Wall AP 5.3Gbps 4 Port Gigabit LAN</t>
  </si>
  <si>
    <t>https://sysnetcenter.com/12205-home_default/ubiquiti-unifi-u6-iw-in-wall-access-point-wifi-6-4-port-lan-gigabit.webp</t>
  </si>
  <si>
    <t>UniFi WiFi 6 In-Wall AP 5.3Gbps มี 4 Port Gigabit LAN ในตัว ติดตั้งแบบ Wall Plate</t>
  </si>
  <si>
    <t>• WiFi 6 (802.11ax) In-Wall AP
• ความเร็วสูงสุด 5.3Gbps
• 4 Port Gigabit Ethernet ในตัว
• ติดตั้งแบบ Wall Plate
• เหมาะสำหรับโรงแรม สำนักงาน</t>
  </si>
  <si>
    <t>มาตรฐาน Wi-Fi: WiFi 6 (802.11ax)
ความเร็วสูงสุด: 5.3Gbps
พอร์ต LAN: 4x Gigabit Ethernet
Power: PoE 802.3at
ติดตั้ง: In-Wall / Wall Plate</t>
  </si>
  <si>
    <t>WiFi6,In-Wall,Wall-Plate,Gigabit</t>
  </si>
  <si>
    <t>u6-enterprise</t>
  </si>
  <si>
    <t>U6-Enterprise</t>
  </si>
  <si>
    <t>Ubiquiti U6-Enterprise UniFi WiFi 6E AP Tri-Band 4x4 MIMO 10.2Gbps</t>
  </si>
  <si>
    <t>https://sysnetcenter.com/12203-home_default/ubiquiti-unifi-6-enterprise-access-point-u6-enterprise-us-wifi-6-6ghz.webp</t>
  </si>
  <si>
    <t>UniFi WiFi 6E Enterprise AP Tri-Band 4x4 MIMO 10.2Gbps รองรับ 600 clients ระดับองค์กร</t>
  </si>
  <si>
    <t>• WiFi 6E (802.11ax) Tri-Band 4x4 MIMO
• ความเร็วสูงสุด 10.2Gbps
• รองรับ 6GHz Band
• รองรับ 600 clients
• ระดับ Enterprise</t>
  </si>
  <si>
    <t>มาตรฐาน Wi-Fi: WiFi 6E (802.11ax)
ความเร็วสูงสุด: 10.2Gbps
MIMO: 4x4 MU-MIMO
ย่านความถี่: Tri-Band 2.4/5/6GHz
ผู้ใช้แนะนำ: 600 Clients
Power: PoE 802.3at
ติดตั้ง: Ceiling Enterprise</t>
  </si>
  <si>
    <t>WiFi6E,Tri-Band,4x4MIMO,Enterprise</t>
  </si>
  <si>
    <t>u6-mesh</t>
  </si>
  <si>
    <t>U6-Mesh</t>
  </si>
  <si>
    <t>Ubiquiti U6-Mesh UniFi WiFi 6 Outdoor Mesh AP 4x4 MIMO 160MHz 5.3Gbps</t>
  </si>
  <si>
    <t>https://sysnetcenter.com/9331-home_default/ubiquiti-u6-mesh-us-access-point-wifi-6-mesh-4x4-mimo-160mhz.webp</t>
  </si>
  <si>
    <t>UniFi WiFi 6 Outdoor Mesh AP 4x4 MIMO 160MHz 5.3Gbps มี PoE Adapter ในกล่อง</t>
  </si>
  <si>
    <t>• WiFi 6 (802.11ax) Outdoor Mesh AP
• 4x4 MU-MIMO + OFDMA
• ความเร็วสูงสุด 5.3Gbps 160MHz
• WiFi Mesh สำหรับ Outdoor</t>
  </si>
  <si>
    <t>มาตรฐาน Wi-Fi: WiFi 6 (802.11ax)
ความเร็วสูงสุด: 5.3Gbps
MIMO: 4x4 MU-MIMO
Bandwidth: 160MHz
Power: PoE 802.3at (Included)
ติดตั้ง: Outdoor Mesh</t>
  </si>
  <si>
    <t>WiFi6,Outdoor,Mesh,4x4MIMO</t>
  </si>
  <si>
    <t>u6-pro</t>
  </si>
  <si>
    <t>U6-Pro</t>
  </si>
  <si>
    <t>Ubiquiti U6-Pro UniFi WiFi 6 Pro Ceiling AP 4x4 MIMO Dual-Band 5.3Gbps</t>
  </si>
  <si>
    <t>https://sysnetcenter.com/8876-home_default/ubiquiti-unifi-6-pro-access-point-u6-pro-ap-4x4-mimo.webp</t>
  </si>
  <si>
    <t>UniFi WiFi 6 Pro Ceiling AP 4x4 MIMO Dual-Band 5.3Gbps รองรับ 300 clients</t>
  </si>
  <si>
    <t>• WiFi 6 (802.11ax) Dual-Band
• 4x4 MU-MIMO + OFDMA
• ความเร็วสูงสุด 5.3Gbps
• รองรับ 300 clients</t>
  </si>
  <si>
    <t>มาตรฐาน Wi-Fi: WiFi 6 (802.11ax)
ความเร็วสูงสุด: 5.3Gbps
MIMO: 4x4 MU-MIMO
ย่านความถี่: Dual-Band 2.4/5GHz
ผู้ใช้แนะนำ: 300 Clients
Power: PoE 802.3at
ติดตั้ง: Ceiling Mount</t>
  </si>
  <si>
    <t>WiFi6,Dual-Band,4x4MIMO,Ceiling</t>
  </si>
  <si>
    <t>RG-ES220GS-LP1</t>
  </si>
  <si>
    <t>DrayTek</t>
  </si>
  <si>
    <t>Firewall Router</t>
  </si>
  <si>
    <t>RG-ES220GS-LP2</t>
  </si>
  <si>
    <t>Web Content Filtering</t>
  </si>
  <si>
    <t>RG-ES220GS-LP3</t>
  </si>
  <si>
    <t>Wireless AP</t>
  </si>
  <si>
    <t>RG-ES220GS-LP4</t>
  </si>
  <si>
    <t>Network Switches</t>
  </si>
  <si>
    <t>RG-ES220GS-LP43</t>
  </si>
  <si>
    <t>ตัวอย่าง-สินค้า-ของคุณ</t>
  </si>
  <si>
    <t>SKU-ของคุณ</t>
  </si>
  <si>
    <t>ชื่อสินค้าของคุณ</t>
  </si>
  <si>
    <t>รุ่นสินค้า</t>
  </si>
  <si>
    <t>Cisco</t>
  </si>
  <si>
    <t>Firewall</t>
  </si>
  <si>
    <t>คำอธิบายสั้น 1-2 บรรทัด</t>
  </si>
  <si>
    <t>รายละเอียดสินค้า (ใช้ Enter ขึ้นบรรทัดใหม่)</t>
  </si>
  <si>
    <t>spec1: ค่า
spec2: ค่า
spec3: ค่า</t>
  </si>
  <si>
    <t>tag1,tag2,tag3</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</si>
</sst>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0.0"/>
      <color theme="1"/>
      <name val="Arial"/>
    </font>
    <font>
      <u/>
      <sz val="10.0"/>
      <color theme="10"/>
      <name val="Arial"/>
    </font>
    <font>
      <u/>
      <sz val="10.0"/>
      <color rgb="FF0000FF"/>
      <name val="Arial"/>
    </font>
    <font>
      <u/>
      <sz val="10.0"/>
      <color rgb="FF000000"/>
      <name val="Arial"/>
    </font>
    <font>
      <u/>
      <sz val="10.0"/>
      <color rgb="FF1155CC"/>
      <name val="Arial"/>
    </font>
    <font>
      <u/>
      <sz val="10.0"/>
      <color theme="1"/>
      <name val="Arial"/>
    </font>
    <font>
      <sz val="10.0"/>
      <color rgb="FF1155CC"/>
      <name val="Arial"/>
    </font>
    <font>
      <u/>
      <sz val="10.0"/>
      <color theme="10"/>
      <name val="Arial"/>
    </font>
    <font>
      <u/>
      <sz val="10.0"/>
      <color rgb="FF0000FF"/>
      <name val="Arial"/>
    </font>
    <font>
      <u/>
      <sz val="10.0"/>
      <color rgb="FF1155CC"/>
      <name val="Arial"/>
    </font>
    <font>
      <u/>
      <sz val="10.0"/>
      <color theme="1"/>
      <name val="Arial"/>
    </font>
    <font>
      <color theme="1"/>
      <name val="Arial"/>
      <scheme val="minor"/>
    </font>
  </fonts>
  <fills count="3">
    <fill>
      <patternFill patternType="none"/>
    </fill>
    <fill>
      <patternFill patternType="lightGray"/>
    </fill>
    <fill>
      <patternFill patternType="solid">
        <fgColor rgb="FFE06666"/>
        <bgColor rgb="FFE06666"/>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3" xfId="0" applyAlignment="1" applyFont="1" applyNumberFormat="1">
      <alignment horizontal="right"/>
    </xf>
    <xf borderId="0" fillId="0" fontId="2" numFmtId="0" xfId="0" applyFont="1"/>
    <xf borderId="0" fillId="0" fontId="1" numFmtId="0" xfId="0" applyAlignment="1" applyFont="1">
      <alignment shrinkToFit="0" wrapText="1"/>
    </xf>
    <xf borderId="0" fillId="0" fontId="1" numFmtId="0" xfId="0" applyAlignment="1" applyFont="1">
      <alignment horizontal="center"/>
    </xf>
    <xf borderId="0" fillId="0" fontId="1" numFmtId="0" xfId="0" applyAlignment="1" applyFont="1">
      <alignment horizontal="right"/>
    </xf>
    <xf borderId="0" fillId="0" fontId="3" numFmtId="0" xfId="0" applyFont="1"/>
    <xf borderId="0" fillId="0" fontId="4" numFmtId="0" xfId="0" applyFont="1"/>
    <xf borderId="0" fillId="0" fontId="5" numFmtId="0" xfId="0" applyFont="1"/>
    <xf borderId="0" fillId="0" fontId="6" numFmtId="0" xfId="0" applyFont="1"/>
    <xf borderId="0" fillId="0" fontId="7" numFmtId="0" xfId="0" applyFont="1"/>
    <xf borderId="0" fillId="0" fontId="1" numFmtId="3" xfId="0" applyAlignment="1" applyFont="1" applyNumberFormat="1">
      <alignment horizontal="right" readingOrder="0"/>
    </xf>
    <xf borderId="0" fillId="0" fontId="8" numFmtId="0" xfId="0" applyAlignment="1" applyFont="1">
      <alignment readingOrder="0"/>
    </xf>
    <xf borderId="0" fillId="0" fontId="1" numFmtId="0" xfId="0" applyAlignment="1" applyFont="1">
      <alignment readingOrder="0" shrinkToFit="0" wrapText="1"/>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2" fontId="1" numFmtId="0" xfId="0" applyAlignment="1" applyFill="1" applyFont="1">
      <alignment readingOrder="0"/>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eo-sgp-cos.ruijie.com/background/other/2023-07-13/6152b78f396047a5af6a2ee21e507033.png" TargetMode="External"/><Relationship Id="rId194" Type="http://schemas.openxmlformats.org/officeDocument/2006/relationships/hyperlink" Target="https://eo-sgp-cos.ruijie.com/background/other/2023-07-27/3bf31ba0473b4a4ab3a648997440a98f.png" TargetMode="External"/><Relationship Id="rId193" Type="http://schemas.openxmlformats.org/officeDocument/2006/relationships/hyperlink" Target="https://eo-sgp-cos.ruijie.com/background/other/2023-07-27/a167b070ff344d6b865e69d15785c03b.png" TargetMode="External"/><Relationship Id="rId192" Type="http://schemas.openxmlformats.org/officeDocument/2006/relationships/hyperlink" Target="https://eo-sgp-cos.ruijie.com/background/other/2023-07-27/3fe080e49ebf4437ac46868043a8c4db.png" TargetMode="External"/><Relationship Id="rId191" Type="http://schemas.openxmlformats.org/officeDocument/2006/relationships/hyperlink" Target="https://eo-sgp-cos.ruijie.com/background/other/2023-07-13/054be5cea16d4f57a61fcc7228f28bfc.png" TargetMode="External"/><Relationship Id="rId187" Type="http://schemas.openxmlformats.org/officeDocument/2006/relationships/hyperlink" Target="https://eo-sgp-cos.ruijie.com/background/other/2024-03-22/0f737dd2317b41dcac46eb290823f9d8.png" TargetMode="External"/><Relationship Id="rId186" Type="http://schemas.openxmlformats.org/officeDocument/2006/relationships/hyperlink" Target="https://eo-sgp-cos.ruijie.com/background/other/2024-03-22/3e4aba76fcba44df9d824a1f69754d0b.png" TargetMode="External"/><Relationship Id="rId185" Type="http://schemas.openxmlformats.org/officeDocument/2006/relationships/hyperlink" Target="https://eo-sgp-cos.ruijie.com/background/other/2023-07-13/0e2098cceb8e4a36a9feb022439589b1.png" TargetMode="External"/><Relationship Id="rId184" Type="http://schemas.openxmlformats.org/officeDocument/2006/relationships/hyperlink" Target="https://eo-sgp-cos.ruijie.com/background/other/2023-07-13/334d2946d09f4ff8b52d2e5db245f2cc.png" TargetMode="External"/><Relationship Id="rId189" Type="http://schemas.openxmlformats.org/officeDocument/2006/relationships/hyperlink" Target="https://eo-sgp-cos.ruijie.com/background/other/2023-05-16/27ebd871787f4efdae089e08098e4bf3.png" TargetMode="External"/><Relationship Id="rId188" Type="http://schemas.openxmlformats.org/officeDocument/2006/relationships/hyperlink" Target="https://eo-sgp-cos.ruijie.com/background/other/2024-03-22/06f4c107b3e645dfa5e06e244c139cc3.png" TargetMode="External"/><Relationship Id="rId183" Type="http://schemas.openxmlformats.org/officeDocument/2006/relationships/hyperlink" Target="https://eo-sgp-cos.ruijie.com/background/other/2023-07-13/faa8e0552ce142468364c748c920fd23.png" TargetMode="External"/><Relationship Id="rId182" Type="http://schemas.openxmlformats.org/officeDocument/2006/relationships/hyperlink" Target="https://eo-sgp-cos.ruijie.com/FU/Upload/Product/2022/11-24/2022112426980591.png" TargetMode="External"/><Relationship Id="rId181" Type="http://schemas.openxmlformats.org/officeDocument/2006/relationships/hyperlink" Target="https://eo-sgp-cos.ruijie.com/FU/Upload/Product/2022/11-24/2022112426697393.png" TargetMode="External"/><Relationship Id="rId180" Type="http://schemas.openxmlformats.org/officeDocument/2006/relationships/hyperlink" Target="https://eo-sgp-cos.ruijie.com/background/other/2025-04-30/Frame%2011-20250430-102101.png" TargetMode="External"/><Relationship Id="rId176" Type="http://schemas.openxmlformats.org/officeDocument/2006/relationships/hyperlink" Target="https://eo-sgp-cos.ruijie.com/FU/Upload/Product/2022/8-17/20228173163113.jpg" TargetMode="External"/><Relationship Id="rId297" Type="http://schemas.openxmlformats.org/officeDocument/2006/relationships/hyperlink" Target="https://sysnetcenter.com/9332-home_default/ubiquiti-usw-flex-mini-l2-managed-gigabit-switch-5-port.webp" TargetMode="External"/><Relationship Id="rId175" Type="http://schemas.openxmlformats.org/officeDocument/2006/relationships/hyperlink" Target="https://eo-sgp-cos.ruijie.com/FU/Upload/Product/2022/8-17/202281731502316.jpg" TargetMode="External"/><Relationship Id="rId296" Type="http://schemas.openxmlformats.org/officeDocument/2006/relationships/hyperlink" Target="https://sysnetcenter.com/9800-home_default/ubiquiti-usw-lite-16-poe-l2-managed-gigabit-poe-switch-16-port-45w.webp" TargetMode="External"/><Relationship Id="rId174" Type="http://schemas.openxmlformats.org/officeDocument/2006/relationships/hyperlink" Target="https://eo-sgp-cos.ruijie.com/FU/Upload/Product/2022/8-17/202281731822386.jpg" TargetMode="External"/><Relationship Id="rId295" Type="http://schemas.openxmlformats.org/officeDocument/2006/relationships/hyperlink" Target="https://sysnetcenter.com/9808-home_default/-usw-lite-8-poe-l2-managedubiquiti-gigabit-poe-switch-4-port-52w.webp" TargetMode="External"/><Relationship Id="rId173" Type="http://schemas.openxmlformats.org/officeDocument/2006/relationships/hyperlink" Target="https://eo-sgp-cos.ruijie.com/background/other/2025-08-28/Frame%208-20250828-162455.png" TargetMode="External"/><Relationship Id="rId294" Type="http://schemas.openxmlformats.org/officeDocument/2006/relationships/hyperlink" Target="https://sysnetcenter.com/9813-home_default/ubiquiti-unifi-switch-usw-48-poe-l2-managed-gigabit-poe-switch-48-port.webp" TargetMode="External"/><Relationship Id="rId179" Type="http://schemas.openxmlformats.org/officeDocument/2006/relationships/hyperlink" Target="https://eo-sgp-cos.ruijie.com/FU/Upload/Product/2022/11-16/2022111610824960.png" TargetMode="External"/><Relationship Id="rId178" Type="http://schemas.openxmlformats.org/officeDocument/2006/relationships/hyperlink" Target="https://eo-sgp-cos.ruijie.com/FU/Upload/Product/2022/11-16/2022111610388782.png" TargetMode="External"/><Relationship Id="rId299" Type="http://schemas.openxmlformats.org/officeDocument/2006/relationships/hyperlink" Target="https://sysnetcenter.com/6927-home_default/ubiquiti-unifi-switch-usw-pro-48-poe-gen2-l3-managed-gigabit-poe-switch-48-port.webp" TargetMode="External"/><Relationship Id="rId177" Type="http://schemas.openxmlformats.org/officeDocument/2006/relationships/hyperlink" Target="https://eo-sgp-cos.ruijie.com/FU/Upload/Product/2022/11-16/202211161082420.png" TargetMode="External"/><Relationship Id="rId298" Type="http://schemas.openxmlformats.org/officeDocument/2006/relationships/hyperlink" Target="https://sysnetcenter.com/12661-home_default/ubiquiti-unifi-switch-usw-enterprise-24-poe-l3-managed-multi-gigabit-poe-switch-24-port.webp" TargetMode="External"/><Relationship Id="rId198" Type="http://schemas.openxmlformats.org/officeDocument/2006/relationships/hyperlink" Target="https://eo-sgp-cos.ruijie.com/FU/Upload/Product/2022/6-23/202262351527417.jpg" TargetMode="External"/><Relationship Id="rId197" Type="http://schemas.openxmlformats.org/officeDocument/2006/relationships/hyperlink" Target="https://eo-sgp-cos.ruijie.com/FU/Upload/Product/2022/6-23/202262359621210.jpg" TargetMode="External"/><Relationship Id="rId196" Type="http://schemas.openxmlformats.org/officeDocument/2006/relationships/hyperlink" Target="https://eo-sgp-cos.ruijie.com/FU/Upload/Product/2022/6-23/20226235933911.jpg" TargetMode="External"/><Relationship Id="rId195" Type="http://schemas.openxmlformats.org/officeDocument/2006/relationships/hyperlink" Target="https://eo-sgp-cos.ruijie.com/FU/Upload/Product/2022/6-23/202262359199673.png" TargetMode="External"/><Relationship Id="rId199" Type="http://schemas.openxmlformats.org/officeDocument/2006/relationships/hyperlink" Target="https://eo-sgp-cos.ruijie.com/FU/Upload/Product/2022/6-23/202262351793974.jpg" TargetMode="External"/><Relationship Id="rId150" Type="http://schemas.openxmlformats.org/officeDocument/2006/relationships/hyperlink" Target="https://eo-sgp-cos.ruijie.com/background/other/2023-11-16/fdb101519460445dafd285551c381d29.png" TargetMode="External"/><Relationship Id="rId271" Type="http://schemas.openxmlformats.org/officeDocument/2006/relationships/hyperlink" Target="https://eo-sgp-cos.ruijie.com/background/other/2024-08-09/8329e5abc518436da422711941c0b323.png" TargetMode="External"/><Relationship Id="rId270" Type="http://schemas.openxmlformats.org/officeDocument/2006/relationships/hyperlink" Target="https://eo-sgp-cos.ruijie.com/background/other/2024-08-09/df38a3261b2d4b6681805f9247c4e663.png" TargetMode="External"/><Relationship Id="rId1" Type="http://schemas.openxmlformats.org/officeDocument/2006/relationships/hyperlink" Target="https://eo-sgp-cos.ruijie.com/background/other/2023-03-26/669bcfe4f5084ddda8b3cbdc7307a36e.png" TargetMode="External"/><Relationship Id="rId2" Type="http://schemas.openxmlformats.org/officeDocument/2006/relationships/hyperlink" Target="https://eo-sgp-cos.ruijie.com/background/other/2023-03-26/13aac2a47ef94d9d98b8dfaa90d59ba1.png" TargetMode="External"/><Relationship Id="rId3" Type="http://schemas.openxmlformats.org/officeDocument/2006/relationships/hyperlink" Target="https://eo-sgp-cos.ruijie.com/background/other/2023-03-26/daa05cd57d374ac5a09882658c573d88.png" TargetMode="External"/><Relationship Id="rId149" Type="http://schemas.openxmlformats.org/officeDocument/2006/relationships/hyperlink" Target="https://eo-sgp-cos.ruijie.com/background/other/2023-11-16/0a77844a39e5455394b8a6a828c16bca.png" TargetMode="External"/><Relationship Id="rId4" Type="http://schemas.openxmlformats.org/officeDocument/2006/relationships/hyperlink" Target="https://eo-sgp-cos.ruijie.com/background/other/2023-08-22/0ac5da00d67b49babf13b5f83326bab7.webp" TargetMode="External"/><Relationship Id="rId148" Type="http://schemas.openxmlformats.org/officeDocument/2006/relationships/hyperlink" Target="https://eo-sgp-cos.ruijie.com/background/other/2023-11-16/d4286728ed5e462f8ec4a82992b46fba.png" TargetMode="External"/><Relationship Id="rId269" Type="http://schemas.openxmlformats.org/officeDocument/2006/relationships/hyperlink" Target="https://eo-sgp-cos.ruijie.com/background/other/2024-08-09/e9c01eb7d120495ca1e3eb1b970b9b3d.png" TargetMode="External"/><Relationship Id="rId9" Type="http://schemas.openxmlformats.org/officeDocument/2006/relationships/hyperlink" Target="https://eo-sgp-cos.ruijie.com/background/other/2024-01-25/771248dd51e343a1beb212125e98d89c.webp" TargetMode="External"/><Relationship Id="rId143" Type="http://schemas.openxmlformats.org/officeDocument/2006/relationships/hyperlink" Target="https://eo-sgp-cos.ruijie.com/background/other/2024-08-05/9aacf247f41f448b8aa5a32f33475950.png" TargetMode="External"/><Relationship Id="rId264" Type="http://schemas.openxmlformats.org/officeDocument/2006/relationships/hyperlink" Target="https://eo-sgp-cos.ruijie.com/background/other/2023-10-13/c668690d424b4e8a80379aa33b0b49d0.png" TargetMode="External"/><Relationship Id="rId385" Type="http://schemas.openxmlformats.org/officeDocument/2006/relationships/hyperlink" Target="https://sysnetcenter.com/8876-home_default/ubiquiti-unifi-6-pro-access-point-u6-pro-ap-4x4-mimo.webp" TargetMode="External"/><Relationship Id="rId142" Type="http://schemas.openxmlformats.org/officeDocument/2006/relationships/hyperlink" Target="https://eo-sgp-cos.ruijie.com/background/other/2024-08-05/b2ca23444d9e4cda9c302a875375d425.png" TargetMode="External"/><Relationship Id="rId263" Type="http://schemas.openxmlformats.org/officeDocument/2006/relationships/hyperlink" Target="https://eo-sgp-cos.ruijie.com/background/other/2023-10-13/9bc7b1f93378431c83d11c973488ff0f.png" TargetMode="External"/><Relationship Id="rId384" Type="http://schemas.openxmlformats.org/officeDocument/2006/relationships/hyperlink" Target="https://sysnetcenter.com/9331-home_default/ubiquiti-u6-mesh-us-access-point-wifi-6-mesh-4x4-mimo-160mhz.webp" TargetMode="External"/><Relationship Id="rId141" Type="http://schemas.openxmlformats.org/officeDocument/2006/relationships/hyperlink" Target="https://eo-sgp-cos.ruijie.com/background/other/2024-08-05/ee811436ed1b4ba7abcc31970a65d323.png" TargetMode="External"/><Relationship Id="rId262" Type="http://schemas.openxmlformats.org/officeDocument/2006/relationships/hyperlink" Target="https://eo-sgp-cos.ruijie.com/background/other/2024-01-05/c25ccae8b44c49af9d2dfbb35ec7c19b.png" TargetMode="External"/><Relationship Id="rId383" Type="http://schemas.openxmlformats.org/officeDocument/2006/relationships/hyperlink" Target="https://sysnetcenter.com/12203-home_default/ubiquiti-unifi-6-enterprise-access-point-u6-enterprise-us-wifi-6-6ghz.webp" TargetMode="External"/><Relationship Id="rId140" Type="http://schemas.openxmlformats.org/officeDocument/2006/relationships/hyperlink" Target="https://eo-sgp-cos.ruijie.com/background/other/2024-08-23/2bc4cf75f4224ea2a58f5d5364b4dde7.png" TargetMode="External"/><Relationship Id="rId261" Type="http://schemas.openxmlformats.org/officeDocument/2006/relationships/hyperlink" Target="https://eo-sgp-cos.ruijie.com/background/other/2024-01-05/bd06d31bb05b42b3abff651884a73baa.png" TargetMode="External"/><Relationship Id="rId382" Type="http://schemas.openxmlformats.org/officeDocument/2006/relationships/hyperlink" Target="https://sysnetcenter.com/12205-home_default/ubiquiti-unifi-u6-iw-in-wall-access-point-wifi-6-4-port-lan-gigabit.webp" TargetMode="External"/><Relationship Id="rId5" Type="http://schemas.openxmlformats.org/officeDocument/2006/relationships/hyperlink" Target="https://eo-sgp-cos.ruijie.com/background/other/2023-08-22/b6eb8ed1e3b44ed391966468ab34f1a1.webp" TargetMode="External"/><Relationship Id="rId147" Type="http://schemas.openxmlformats.org/officeDocument/2006/relationships/hyperlink" Target="https://eo-sgp-cos.ruijie.com/background/other/2023-11-16/5b3f4e7d743f4249be35324f3e3639fd.png" TargetMode="External"/><Relationship Id="rId268" Type="http://schemas.openxmlformats.org/officeDocument/2006/relationships/hyperlink" Target="https://eo-sgp-cos.ruijie.com/background/other/2024-01-05/d3f40f850c614c3fb06c62bac33d3a62.png" TargetMode="External"/><Relationship Id="rId6" Type="http://schemas.openxmlformats.org/officeDocument/2006/relationships/hyperlink" Target="https://eo-sgp-cos.ruijie.com/background/other/2023-08-22/06e96e1d9f48461f859514441cd59970.webp" TargetMode="External"/><Relationship Id="rId146" Type="http://schemas.openxmlformats.org/officeDocument/2006/relationships/hyperlink" Target="https://eo-sgp-cos.ruijie.com/background/other/2024-06-14/3a86591126ce4c4b9aa4b8222007fbb3.png" TargetMode="External"/><Relationship Id="rId267" Type="http://schemas.openxmlformats.org/officeDocument/2006/relationships/hyperlink" Target="https://eo-sgp-cos.ruijie.com/background/other/2024-01-05/65cf6e6c708a44a29499931232099f11.png" TargetMode="External"/><Relationship Id="rId7" Type="http://schemas.openxmlformats.org/officeDocument/2006/relationships/hyperlink" Target="https://eo-sgp-cos.ruijie.com/background/other/2023-09-08/009be4fa9ea741ed91c175a15e578407.png" TargetMode="External"/><Relationship Id="rId145" Type="http://schemas.openxmlformats.org/officeDocument/2006/relationships/hyperlink" Target="https://eo-sgp-cos.ruijie.com/background/other/2024-06-14/cd33d5e9641941d7838838a641ea0769.png" TargetMode="External"/><Relationship Id="rId266" Type="http://schemas.openxmlformats.org/officeDocument/2006/relationships/hyperlink" Target="https://eo-sgp-cos.ruijie.com/background/other/2024-01-05/738c0fbe9bfe4118b8fc9c2ee14764eb.png" TargetMode="External"/><Relationship Id="rId8" Type="http://schemas.openxmlformats.org/officeDocument/2006/relationships/hyperlink" Target="https://eo-sgp-cos.ruijie.com/background/other/2024-01-25/8a1ef0db07b84e6ab1f97ebc72b062e1.webp" TargetMode="External"/><Relationship Id="rId144" Type="http://schemas.openxmlformats.org/officeDocument/2006/relationships/hyperlink" Target="https://eo-sgp-cos.ruijie.com/background/other/2024-06-14/2e0cbd7b0d3f4199bb095fbe75532f1b.png" TargetMode="External"/><Relationship Id="rId265" Type="http://schemas.openxmlformats.org/officeDocument/2006/relationships/hyperlink" Target="https://eo-sgp-cos.ruijie.com/background/other/2023-10-13/94f55065dd4d4afd9a89ee74af45fc1a.png" TargetMode="External"/><Relationship Id="rId386" Type="http://schemas.openxmlformats.org/officeDocument/2006/relationships/drawing" Target="../drawings/drawing1.xml"/><Relationship Id="rId260" Type="http://schemas.openxmlformats.org/officeDocument/2006/relationships/hyperlink" Target="https://eo-sgp-cos.ruijie.com/background/other/2024-01-05/ed8ca5c947234a1b84dea5c94b03ba68.png" TargetMode="External"/><Relationship Id="rId381" Type="http://schemas.openxmlformats.org/officeDocument/2006/relationships/hyperlink" Target="https://sysnetcenter.com/12202-home_default/ubiquiti-unifi-6-plus-u6-wi-fi-6-access-point-dual-band-2x2-mimo.webp" TargetMode="External"/><Relationship Id="rId380" Type="http://schemas.openxmlformats.org/officeDocument/2006/relationships/hyperlink" Target="https://sysnetcenter.com/12051-home_default/ubiquiti-unifi-7-pro-access-point-u7-pro-wifi-7-tri-band-9gbps.webp" TargetMode="External"/><Relationship Id="rId139" Type="http://schemas.openxmlformats.org/officeDocument/2006/relationships/hyperlink" Target="https://eo-sgp-cos.ruijie.com/background/other/2024-08-23/0bd671ade89e4a5e9d6ad57eb109c9b3.png" TargetMode="External"/><Relationship Id="rId138" Type="http://schemas.openxmlformats.org/officeDocument/2006/relationships/hyperlink" Target="https://eo-sgp-cos.ruijie.com/background/other/2024-08-23/de4370ee40fb4170b98002beb425c96e.png" TargetMode="External"/><Relationship Id="rId259" Type="http://schemas.openxmlformats.org/officeDocument/2006/relationships/hyperlink" Target="https://eo-sgp-cos.ruijie.com/background/other/2023-10-23/c1eb1bc613cd4052b9243ceb5492ebff.png" TargetMode="External"/><Relationship Id="rId137" Type="http://schemas.openxmlformats.org/officeDocument/2006/relationships/hyperlink" Target="https://eo-sgp-cos.ruijie.com/background/other/2025-02-26/Frame%2011-20250226-104457.png" TargetMode="External"/><Relationship Id="rId258" Type="http://schemas.openxmlformats.org/officeDocument/2006/relationships/hyperlink" Target="https://eo-sgp-cos.ruijie.com/background/other/2023-10-23/5fcd4108ef05436fbd0020495882f27f.png" TargetMode="External"/><Relationship Id="rId379" Type="http://schemas.openxmlformats.org/officeDocument/2006/relationships/hyperlink" Target="https://sysnetcenter.com/12204-home_default/u6-mesh-pro-ubiquiti-access-point-wifi-6-mesh-2x2-mimo-160mhz-24gbps.webp" TargetMode="External"/><Relationship Id="rId132" Type="http://schemas.openxmlformats.org/officeDocument/2006/relationships/hyperlink" Target="https://eo-sgp-cos.ruijie.com/background/other/2023-06-04/1dfa8db01b2e4925ac2fb601f70240ba.png" TargetMode="External"/><Relationship Id="rId253" Type="http://schemas.openxmlformats.org/officeDocument/2006/relationships/hyperlink" Target="https://eo-sgp-cos.ruijie.com/FU/Upload/Product/2022/5-10/202251029916300.png" TargetMode="External"/><Relationship Id="rId374" Type="http://schemas.openxmlformats.org/officeDocument/2006/relationships/hyperlink" Target="https://sysnetcenter.com/14093-home_default/u7-lr-ubiquiti-unifi-7-long-range-access-point-wi-fi-7-dual-band-498gbps.webp" TargetMode="External"/><Relationship Id="rId131" Type="http://schemas.openxmlformats.org/officeDocument/2006/relationships/hyperlink" Target="https://eo-sgp-cos.ruijie.com/background/other/2024-11-14/Frame%208-20241114-141619.png" TargetMode="External"/><Relationship Id="rId252" Type="http://schemas.openxmlformats.org/officeDocument/2006/relationships/hyperlink" Target="https://eo-sgp-cos.ruijie.com/FU/Upload/Product/2022/5-10/202251029853190.png" TargetMode="External"/><Relationship Id="rId373" Type="http://schemas.openxmlformats.org/officeDocument/2006/relationships/hyperlink" Target="https://sysnetcenter.com/14092-home_default/u7-pro-wall-ubiquiti-unifi-7-pro-wall-access-point-wi-fi-7-tri-band-93gbps.webp" TargetMode="External"/><Relationship Id="rId130" Type="http://schemas.openxmlformats.org/officeDocument/2006/relationships/hyperlink" Target="https://eo-sgp-cos.ruijie.com/background/other/2024-11-14/Frame%205-20241114-141619.png" TargetMode="External"/><Relationship Id="rId251" Type="http://schemas.openxmlformats.org/officeDocument/2006/relationships/hyperlink" Target="https://eo-sgp-cos.ruijie.com/FU/Upload/Product/2022/5-10/202251029275197.png" TargetMode="External"/><Relationship Id="rId372" Type="http://schemas.openxmlformats.org/officeDocument/2006/relationships/hyperlink" Target="https://sysnetcenter.com/14144-home_default/u7-pro-xg-unifi-ceiling-mounted-6-stream-wifi-7-ap-tri-band-10gbps.webp" TargetMode="External"/><Relationship Id="rId250" Type="http://schemas.openxmlformats.org/officeDocument/2006/relationships/hyperlink" Target="https://eo-sgp-cos.ruijie.com/FU/Upload/Product/2022/5-10/202251027603351.png" TargetMode="External"/><Relationship Id="rId371" Type="http://schemas.openxmlformats.org/officeDocument/2006/relationships/hyperlink" Target="https://sysnetcenter.com/14150-home_default/u7-iw-unifi-wall-mounted-4-stream-wifi-7-ap-dual-band-498gbps.webp" TargetMode="External"/><Relationship Id="rId136" Type="http://schemas.openxmlformats.org/officeDocument/2006/relationships/hyperlink" Target="https://eo-sgp-cos.ruijie.com/background/other/2025-02-26/Frame%203-20250226-104455.png" TargetMode="External"/><Relationship Id="rId257" Type="http://schemas.openxmlformats.org/officeDocument/2006/relationships/hyperlink" Target="https://eo-sgp-cos.ruijie.com/background/other/2023-10-23/5f405279d054444381c5e565e37e6a3c.png" TargetMode="External"/><Relationship Id="rId378" Type="http://schemas.openxmlformats.org/officeDocument/2006/relationships/hyperlink" Target="https://sysnetcenter.com/12228-home_default/uk-ultra-ubiquiti-unifi-swiss-army-knife-access-point-wifi-5-2x2-mimo.webp" TargetMode="External"/><Relationship Id="rId135" Type="http://schemas.openxmlformats.org/officeDocument/2006/relationships/hyperlink" Target="https://eo-sgp-cos.ruijie.com/background/other/2025-02-26/Frame%201-20250226-104455.png" TargetMode="External"/><Relationship Id="rId256" Type="http://schemas.openxmlformats.org/officeDocument/2006/relationships/hyperlink" Target="https://eo-sgp-cos.ruijie.com/background/other/2023-08-16/271a225b8d6f417ba4c8b6f46bef4d80.png" TargetMode="External"/><Relationship Id="rId377" Type="http://schemas.openxmlformats.org/officeDocument/2006/relationships/hyperlink" Target="https://sysnetcenter.com/12229-home_default/u7-outdoor-ubiquiti-unifi-access-point-wifi-7-2x2-mu-mimo.webp" TargetMode="External"/><Relationship Id="rId134" Type="http://schemas.openxmlformats.org/officeDocument/2006/relationships/hyperlink" Target="https://eo-sgp-cos.ruijie.com/background/other/2023-06-04/75db0ecdd0984524a8e1a4b7104df0f8.png" TargetMode="External"/><Relationship Id="rId255" Type="http://schemas.openxmlformats.org/officeDocument/2006/relationships/hyperlink" Target="https://eo-sgp-cos.ruijie.com/background/other/2023-08-16/a6d2641674da4e1399fea739a2a2af8a.png" TargetMode="External"/><Relationship Id="rId376" Type="http://schemas.openxmlformats.org/officeDocument/2006/relationships/hyperlink" Target="https://sysnetcenter.com/13111-home_default/u7-pro-max-ubiquiti-unifi-7-pro-max-access-point-wi-fi-7-tri-band-4x4-93gbps.webp" TargetMode="External"/><Relationship Id="rId133" Type="http://schemas.openxmlformats.org/officeDocument/2006/relationships/hyperlink" Target="https://eo-sgp-cos.ruijie.com/background/other/2023-06-04/d22c73b728fa44c7b82e3af1b051956d.png" TargetMode="External"/><Relationship Id="rId254" Type="http://schemas.openxmlformats.org/officeDocument/2006/relationships/hyperlink" Target="https://eo-sgp-cos.ruijie.com/background/other/2023-08-16/439f2a83f8fe43ce8165a2ed4c6ce29f.png" TargetMode="External"/><Relationship Id="rId375" Type="http://schemas.openxmlformats.org/officeDocument/2006/relationships/hyperlink" Target="https://sysnetcenter.com/13647-home_default/u7-lite-ubiquiti-unifi-7-lite-access-point-wi-fi-7-dual-band.webp" TargetMode="External"/><Relationship Id="rId172" Type="http://schemas.openxmlformats.org/officeDocument/2006/relationships/hyperlink" Target="https://eo-sgp-cos.ruijie.com/background/other/2025-08-28/Frame%202-20250828-162455.png" TargetMode="External"/><Relationship Id="rId293" Type="http://schemas.openxmlformats.org/officeDocument/2006/relationships/hyperlink" Target="https://sysnetcenter.com/12102-home_default/usw-ultra-60w-ubiquiti-unifi-switch-l2-managed-gigabit-poe-switch-7-port-gigabit.webp" TargetMode="External"/><Relationship Id="rId171" Type="http://schemas.openxmlformats.org/officeDocument/2006/relationships/hyperlink" Target="https://eo-sgp-cos.ruijie.com/background/other/2025-08-28/Frame%201-20250828-162454.png" TargetMode="External"/><Relationship Id="rId292" Type="http://schemas.openxmlformats.org/officeDocument/2006/relationships/hyperlink" Target="https://sysnetcenter.com/12105-home_default/usw-ultra-210w-ubiquiti-unifi-switch-l2-managed-gigabit-poe-switch-7-port-gigabit.webp" TargetMode="External"/><Relationship Id="rId170" Type="http://schemas.openxmlformats.org/officeDocument/2006/relationships/hyperlink" Target="https://eo-sgp-cos.ruijie.com/FU/Upload/Product/2022/8-18/202281833278444.png" TargetMode="External"/><Relationship Id="rId291" Type="http://schemas.openxmlformats.org/officeDocument/2006/relationships/hyperlink" Target="https://sysnetcenter.com/12137-home_default/usw-24-ubiquiti-unifi-switch-24-gen2-l2-managed-gigabit-switch-24-port-2-sfp.webp" TargetMode="External"/><Relationship Id="rId290" Type="http://schemas.openxmlformats.org/officeDocument/2006/relationships/hyperlink" Target="https://sysnetcenter.com/12219-home_default/ubiquiti-unifi-switch-usw-pro-aggregation-l3-managed-switch-28-port-sfp-plus.webp" TargetMode="External"/><Relationship Id="rId165" Type="http://schemas.openxmlformats.org/officeDocument/2006/relationships/hyperlink" Target="https://eo-sgp-cos.ruijie.com/background/other/2023-11-07/643f51278859491b83f625a8a5f2d62a.png" TargetMode="External"/><Relationship Id="rId286" Type="http://schemas.openxmlformats.org/officeDocument/2006/relationships/hyperlink" Target="https://eo-sgp-cos.ruijie.com/background/other/2024-01-04/cc795b2652524153899ba769ecb051e5.png" TargetMode="External"/><Relationship Id="rId164" Type="http://schemas.openxmlformats.org/officeDocument/2006/relationships/hyperlink" Target="https://eo-sgp-cos.ruijie.com/background/other/2023-06-09/f7571e7929044cc2ba6eb2770a89612b.png" TargetMode="External"/><Relationship Id="rId285" Type="http://schemas.openxmlformats.org/officeDocument/2006/relationships/hyperlink" Target="https://eo-sgp-cos.ruijie.com/background/other/2024-01-04/d50251deae3446c28849882f39b25d16.png" TargetMode="External"/><Relationship Id="rId163" Type="http://schemas.openxmlformats.org/officeDocument/2006/relationships/hyperlink" Target="https://eo-sgp-cos.ruijie.com/background/other/2023-05-16/8d65b49286564d1494012cd0a407a380.png" TargetMode="External"/><Relationship Id="rId284" Type="http://schemas.openxmlformats.org/officeDocument/2006/relationships/hyperlink" Target="https://eo-sgp-cos.ruijie.com/background/other/2024-01-04/1f1aea1ae8e74702aaad7e4836072255.png" TargetMode="External"/><Relationship Id="rId162" Type="http://schemas.openxmlformats.org/officeDocument/2006/relationships/hyperlink" Target="https://eo-sgp-cos.ruijie.com/FU/Upload/Product/2022/10-12/2022101229757839.png" TargetMode="External"/><Relationship Id="rId283" Type="http://schemas.openxmlformats.org/officeDocument/2006/relationships/hyperlink" Target="https://eo-sgp-cos.ruijie.com/background/other/2024-08-08/a8be94c6cff74c5f86e322842e307aff.png" TargetMode="External"/><Relationship Id="rId169" Type="http://schemas.openxmlformats.org/officeDocument/2006/relationships/hyperlink" Target="https://eo-sgp-cos.ruijie.com/FU/Upload/Product/2022/8-18/202281833825103.png" TargetMode="External"/><Relationship Id="rId168" Type="http://schemas.openxmlformats.org/officeDocument/2006/relationships/hyperlink" Target="https://eo-sgp-cos.ruijie.com/FU/Upload/Product/2022/8-18/202281833511100.png" TargetMode="External"/><Relationship Id="rId289" Type="http://schemas.openxmlformats.org/officeDocument/2006/relationships/hyperlink" Target="https://sysnetcenter.com/14080-home_default/usw-pro-max-16-poe-180watt-ubiquiti-unifi-switch-l3-managed-gigabit-poe-16-port-with-4-port-25gbps.webp" TargetMode="External"/><Relationship Id="rId167" Type="http://schemas.openxmlformats.org/officeDocument/2006/relationships/hyperlink" Target="https://eo-sgp-cos.ruijie.com/background/other/2023-11-07/bab35c86305d44b7b751f36047d5505c.png" TargetMode="External"/><Relationship Id="rId288" Type="http://schemas.openxmlformats.org/officeDocument/2006/relationships/hyperlink" Target="https://sysnetcenter.com/14089-home_default/usw-pro-max-24-poe-400watt-ubiquiti-unifi-switch-l3-managed-gigabit-poe-24-port-with-8-port-25gbps.webp" TargetMode="External"/><Relationship Id="rId166" Type="http://schemas.openxmlformats.org/officeDocument/2006/relationships/hyperlink" Target="https://eo-sgp-cos.ruijie.com/background/other/2023-11-07/a5c33eac5b784b87a67b9b3f3343cfba.png" TargetMode="External"/><Relationship Id="rId287" Type="http://schemas.openxmlformats.org/officeDocument/2006/relationships/hyperlink" Target="https://sysnetcenter.com/14155-home_default/usw-flex-25g-5-unifi-flex-mini-25g-l2-managed-multi-gigabit-switch-5-port.webp" TargetMode="External"/><Relationship Id="rId161" Type="http://schemas.openxmlformats.org/officeDocument/2006/relationships/hyperlink" Target="https://eo-sgp-cos.ruijie.com/FU/Upload/Product/2022/10-12/2022101229898177.png" TargetMode="External"/><Relationship Id="rId282" Type="http://schemas.openxmlformats.org/officeDocument/2006/relationships/hyperlink" Target="https://eo-sgp-cos.ruijie.com/background/other/2024-08-08/315c2a7b70144a2f88178b9ffba2e503.png" TargetMode="External"/><Relationship Id="rId160" Type="http://schemas.openxmlformats.org/officeDocument/2006/relationships/hyperlink" Target="https://eo-sgp-cos.ruijie.com/FU/Upload/Product/2022/10-12/2022101229354944.png" TargetMode="External"/><Relationship Id="rId281" Type="http://schemas.openxmlformats.org/officeDocument/2006/relationships/hyperlink" Target="https://eo-sgp-cos.ruijie.com/background/other/2024-08-08/0a57a93d5b4749ada01961058c27652c.png" TargetMode="External"/><Relationship Id="rId280" Type="http://schemas.openxmlformats.org/officeDocument/2006/relationships/hyperlink" Target="https://eo-sgp-cos.ruijie.com/background/other/2025-04-25/Frame%206-20250425-115720.png" TargetMode="External"/><Relationship Id="rId159" Type="http://schemas.openxmlformats.org/officeDocument/2006/relationships/hyperlink" Target="https://eo-sgp-cos.ruijie.com/FU/Upload/Product/2022/5-18/202251829255343.jpg" TargetMode="External"/><Relationship Id="rId154" Type="http://schemas.openxmlformats.org/officeDocument/2006/relationships/hyperlink" Target="https://eo-sgp-cos.ruijie.com/FU/Upload/Product/2022/5-18/20225182686464.jpg" TargetMode="External"/><Relationship Id="rId275" Type="http://schemas.openxmlformats.org/officeDocument/2006/relationships/hyperlink" Target="https://eo-sgp-cos.ruijie.com/background/other/2025-04-25/Frame%201-20250425-143348.png" TargetMode="External"/><Relationship Id="rId153" Type="http://schemas.openxmlformats.org/officeDocument/2006/relationships/hyperlink" Target="https://eo-sgp-cos.ruijie.com/FU/Upload/Product/2022/5-18/202251826333312.jpg" TargetMode="External"/><Relationship Id="rId274" Type="http://schemas.openxmlformats.org/officeDocument/2006/relationships/hyperlink" Target="https://eo-sgp-cos.ruijie.com/background/other/2025-04-25/Frame%203-20250425-133534.png" TargetMode="External"/><Relationship Id="rId152" Type="http://schemas.openxmlformats.org/officeDocument/2006/relationships/hyperlink" Target="https://eo-sgp-cos.ruijie.com/FU/Upload/Product/2022/5-18/202251826473299.jpg" TargetMode="External"/><Relationship Id="rId273" Type="http://schemas.openxmlformats.org/officeDocument/2006/relationships/hyperlink" Target="https://eo-sgp-cos.ruijie.com/background/other/2025-04-25/Frame%202-20250425-133534.png" TargetMode="External"/><Relationship Id="rId151" Type="http://schemas.openxmlformats.org/officeDocument/2006/relationships/hyperlink" Target="https://eo-sgp-cos.ruijie.com/background/other/2023-11-16/134a5b249e8346a9be14b4aaa434b03e.png" TargetMode="External"/><Relationship Id="rId272" Type="http://schemas.openxmlformats.org/officeDocument/2006/relationships/hyperlink" Target="https://eo-sgp-cos.ruijie.com/background/other/2025-04-25/Frame%201-20250425-133534.png" TargetMode="External"/><Relationship Id="rId158" Type="http://schemas.openxmlformats.org/officeDocument/2006/relationships/hyperlink" Target="https://eo-sgp-cos.ruijie.com/FU/Upload/Product/2022/5-18/202251829411523.jpg" TargetMode="External"/><Relationship Id="rId279" Type="http://schemas.openxmlformats.org/officeDocument/2006/relationships/hyperlink" Target="https://eo-sgp-cos.ruijie.com/background/other/2025-04-25/Frame%202-20250425-115720.png" TargetMode="External"/><Relationship Id="rId157" Type="http://schemas.openxmlformats.org/officeDocument/2006/relationships/hyperlink" Target="https://eo-sgp-cos.ruijie.com/FU/Upload/Product/2022/5-18/202251829348562.jpg" TargetMode="External"/><Relationship Id="rId278" Type="http://schemas.openxmlformats.org/officeDocument/2006/relationships/hyperlink" Target="https://eo-sgp-cos.ruijie.com/background/other/2025-04-25/Frame%201-20250425-115720.png" TargetMode="External"/><Relationship Id="rId156" Type="http://schemas.openxmlformats.org/officeDocument/2006/relationships/hyperlink" Target="https://eo-sgp-cos.ruijie.com/background/other/2024-03-21/894e96fc0ba6442f92049268e076177a.png" TargetMode="External"/><Relationship Id="rId277" Type="http://schemas.openxmlformats.org/officeDocument/2006/relationships/hyperlink" Target="https://eo-sgp-cos.ruijie.com/background/other/2025-04-25/Frame%206-20250425-143348.png" TargetMode="External"/><Relationship Id="rId155" Type="http://schemas.openxmlformats.org/officeDocument/2006/relationships/hyperlink" Target="https://eo-sgp-cos.ruijie.com/background/other/2024-03-21/f6ad9b8876bc400ca1dcfd2a94bf6bb7.png" TargetMode="External"/><Relationship Id="rId276" Type="http://schemas.openxmlformats.org/officeDocument/2006/relationships/hyperlink" Target="https://eo-sgp-cos.ruijie.com/background/other/2025-04-25/Frame%202-20250425-143348.png" TargetMode="External"/><Relationship Id="rId40" Type="http://schemas.openxmlformats.org/officeDocument/2006/relationships/hyperlink" Target="https://eo-sgp-cos.ruijie.com/background/other/2023-04-28/bee321de4825439fb215b091cef5c4aa.png" TargetMode="External"/><Relationship Id="rId42" Type="http://schemas.openxmlformats.org/officeDocument/2006/relationships/hyperlink" Target="https://high-wireless.com/wp-content/uploads/2022/04/rg-ap210-l-side.jpg" TargetMode="External"/><Relationship Id="rId41" Type="http://schemas.openxmlformats.org/officeDocument/2006/relationships/hyperlink" Target="https://image.makewebcdn.com/makeweb/m_1920x0/jxlPpOYv8/4Products/RG_AP210_L.jpg?v=202405291424" TargetMode="External"/><Relationship Id="rId44" Type="http://schemas.openxmlformats.org/officeDocument/2006/relationships/hyperlink" Target="https://sysnetcenter.com/7645-home_default/ruijie-rg-eg3250-unified-security-gateway-vpn-firewall-l7-cloud.webp" TargetMode="External"/><Relationship Id="rId43" Type="http://schemas.openxmlformats.org/officeDocument/2006/relationships/hyperlink" Target="https://sysnetcenter.com/7358-home_default/ruijie-rg-eg2100-p-v2-smart-access-gateway-vpn-firewall-l7-dpi.webp" TargetMode="External"/><Relationship Id="rId46" Type="http://schemas.openxmlformats.org/officeDocument/2006/relationships/hyperlink" Target="https://sysnetcenter.com/8386-home_default/ruijie-rg-eg3230-unified-security-gateway-6-wan-firewall.webp" TargetMode="External"/><Relationship Id="rId45" Type="http://schemas.openxmlformats.org/officeDocument/2006/relationships/hyperlink" Target="https://sysnetcenter.com/7828-home_default/ruijie-rg-eg3000xe-next-generation-integrated-gateway.webp" TargetMode="External"/><Relationship Id="rId48" Type="http://schemas.openxmlformats.org/officeDocument/2006/relationships/hyperlink" Target="https://sysnetcenter.com/8947-home_default/rg-pa600i-p-f-ruijie-ac-power-module-370w-poe.webp" TargetMode="External"/><Relationship Id="rId47" Type="http://schemas.openxmlformats.org/officeDocument/2006/relationships/hyperlink" Target="https://sysnetcenter.com/8950-home_default/rg-pa1000i-p-f-ruijie-ac-power-module-740w-poe.webp" TargetMode="External"/><Relationship Id="rId49" Type="http://schemas.openxmlformats.org/officeDocument/2006/relationships/hyperlink" Target="https://sysnetcenter.com/10470-home_default/rg-sf2920-16gt2sfp-p-ruijie-gigabit-poe-switch-16-port-125w.webp" TargetMode="External"/><Relationship Id="rId31" Type="http://schemas.openxmlformats.org/officeDocument/2006/relationships/hyperlink" Target="https://eo-sgp-cos.ruijie.com/background/other/2023-04-27/3979206f20f24ab9b540974cf7212070.png" TargetMode="External"/><Relationship Id="rId30" Type="http://schemas.openxmlformats.org/officeDocument/2006/relationships/hyperlink" Target="https://eo-sgp-cos.ruijie.com/background/other/2024-01-24/3881a31c3e4941638e2d70351cc320b4.webp" TargetMode="External"/><Relationship Id="rId33" Type="http://schemas.openxmlformats.org/officeDocument/2006/relationships/hyperlink" Target="https://eo-sgp-cos.ruijie.com/background/other/2023-04-27/5b8b79f678e64c728901698884645146.png" TargetMode="External"/><Relationship Id="rId32" Type="http://schemas.openxmlformats.org/officeDocument/2006/relationships/hyperlink" Target="https://eo-sgp-cos.ruijie.com/background/other/2023-04-27/de31e48733e44687b34333e5332c1b33.png" TargetMode="External"/><Relationship Id="rId35" Type="http://schemas.openxmlformats.org/officeDocument/2006/relationships/hyperlink" Target="https://www.sysinfo.co.th/media/catalog/product/cache/1/image/9df78eab33525d08d6e5fb8d27136e95/r/g/rg-ap130_w2_-v2-top2.jpg" TargetMode="External"/><Relationship Id="rId34" Type="http://schemas.openxmlformats.org/officeDocument/2006/relationships/hyperlink" Target="https://eo-sgp-cos.ruijie.com/FU/Upload/Product/2020/2-17/202021753811666.jpg" TargetMode="External"/><Relationship Id="rId37" Type="http://schemas.openxmlformats.org/officeDocument/2006/relationships/hyperlink" Target="https://www.sysinfo.co.th/media/catalog/product/cache/1/image/9df78eab33525d08d6e5fb8d27136e95/r/g/rg-ap130_w2_-v2-top3.jpg" TargetMode="External"/><Relationship Id="rId36" Type="http://schemas.openxmlformats.org/officeDocument/2006/relationships/hyperlink" Target="https://www.sysinfo.co.th/media/catalog/product/cache/1/image/9df78eab33525d08d6e5fb8d27136e95/r/g/rg-ap130_w2_-v2-top4.jpg" TargetMode="External"/><Relationship Id="rId39" Type="http://schemas.openxmlformats.org/officeDocument/2006/relationships/hyperlink" Target="https://eo-sgp-cos.ruijie.com/background/other/2023-04-28/f054fca07d054327a58639ab39210f3c.png" TargetMode="External"/><Relationship Id="rId38" Type="http://schemas.openxmlformats.org/officeDocument/2006/relationships/hyperlink" Target="https://eo-sgp-cos.ruijie.com/background/other/2023-04-28/eb784609bb6d497b978fbfae4d9ded9c.png" TargetMode="External"/><Relationship Id="rId20" Type="http://schemas.openxmlformats.org/officeDocument/2006/relationships/hyperlink" Target="https://eo-sgp-cos.ruijie.com/background/other/2023-04-01/b23d5fae4a38420ca2d167899dbdabc1.png" TargetMode="External"/><Relationship Id="rId22" Type="http://schemas.openxmlformats.org/officeDocument/2006/relationships/hyperlink" Target="https://eo-sgp-cos.ruijie.com/background/other/2023-07-02/034a44da41e746f5b59bd15f10b0efb1.png" TargetMode="External"/><Relationship Id="rId21" Type="http://schemas.openxmlformats.org/officeDocument/2006/relationships/hyperlink" Target="https://eo-sgp-cos.ruijie.com/background/other/2023-04-01/b956cfc5c4894fb6b44edccc0f5e34f9.png" TargetMode="External"/><Relationship Id="rId24" Type="http://schemas.openxmlformats.org/officeDocument/2006/relationships/hyperlink" Target="https://eo-sgp-cos.ruijie.com/background/other/2023-07-02/609deaad1fba46e080aecbebb4ca115e.png" TargetMode="External"/><Relationship Id="rId23" Type="http://schemas.openxmlformats.org/officeDocument/2006/relationships/hyperlink" Target="https://eo-sgp-cos.ruijie.com/background/other/2023-07-02/3c4aed4fcd1845b69f17d1a9c7a76ec6.png" TargetMode="External"/><Relationship Id="rId26" Type="http://schemas.openxmlformats.org/officeDocument/2006/relationships/hyperlink" Target="https://eo-sgp-cos.ruijie.com/background/other/2023-04-27/ecab628ba168499685d0dbd615320f63.png" TargetMode="External"/><Relationship Id="rId25" Type="http://schemas.openxmlformats.org/officeDocument/2006/relationships/hyperlink" Target="https://eo-sgp-cos.ruijie.com/background/other/2023-04-27/c67b28a6990e4e9392290e48ec3a2568.png" TargetMode="External"/><Relationship Id="rId28" Type="http://schemas.openxmlformats.org/officeDocument/2006/relationships/hyperlink" Target="https://eo-sgp-cos.ruijie.com/background/other/2023-04-28/4ee24b6707b04e40b298d4d085441bfb.png" TargetMode="External"/><Relationship Id="rId27" Type="http://schemas.openxmlformats.org/officeDocument/2006/relationships/hyperlink" Target="https://eo-sgp-cos.ruijie.com/background/other/2023-04-27/5e2ec0931ae34a768eafb439c6894426.png" TargetMode="External"/><Relationship Id="rId29" Type="http://schemas.openxmlformats.org/officeDocument/2006/relationships/hyperlink" Target="https://eo-sgp-cos.ruijie.com/background/other/2023-04-28/d790b7ebb32a40a781fb0aaa04c5460e.png" TargetMode="External"/><Relationship Id="rId11" Type="http://schemas.openxmlformats.org/officeDocument/2006/relationships/hyperlink" Target="https://eo-sgp-cos.ruijie.com/background/other/2023-07-02/3c4aed4fcd1845b69f17d1a9c7a76ec6.png" TargetMode="External"/><Relationship Id="rId10" Type="http://schemas.openxmlformats.org/officeDocument/2006/relationships/hyperlink" Target="https://eo-sgp-cos.ruijie.com/background/other/2023-09-08/009be4fa9ea741ed91c175a15e578407.png" TargetMode="External"/><Relationship Id="rId13" Type="http://schemas.openxmlformats.org/officeDocument/2006/relationships/hyperlink" Target="https://eo-sgp-cos.ruijie.com/background/other/2023-05-15/e3e08199937f435eb6cf5d9ecc069270.png" TargetMode="External"/><Relationship Id="rId12" Type="http://schemas.openxmlformats.org/officeDocument/2006/relationships/hyperlink" Target="https://eo-sgp-cos.ruijie.com/background/other/2023-07-02/609deaad1fba46e080aecbebb4ca115e.png" TargetMode="External"/><Relationship Id="rId15" Type="http://schemas.openxmlformats.org/officeDocument/2006/relationships/hyperlink" Target="https://eo-sgp-cos.ruijie.com/background/other/2023-05-15/19d6b4eabeff4adca36f36b26fb0c33b.png" TargetMode="External"/><Relationship Id="rId14" Type="http://schemas.openxmlformats.org/officeDocument/2006/relationships/hyperlink" Target="https://eo-sgp-cos.ruijie.com/background/other/2023-05-15/1027501ec3b4480db34ad29d62023607.png" TargetMode="External"/><Relationship Id="rId17" Type="http://schemas.openxmlformats.org/officeDocument/2006/relationships/hyperlink" Target="https://eo-sgp-cos.ruijie.com/background/other/2023-03-26/00b4f51728e94ebcb9163c531e3c5a3b.png" TargetMode="External"/><Relationship Id="rId16" Type="http://schemas.openxmlformats.org/officeDocument/2006/relationships/hyperlink" Target="https://eo-sgp-cos.ruijie.com/background/other/2023-03-26/7bcbc860346648a889990eec717f85ee.png" TargetMode="External"/><Relationship Id="rId19" Type="http://schemas.openxmlformats.org/officeDocument/2006/relationships/hyperlink" Target="https://eo-sgp-cos.ruijie.com/background/other/2023-04-01/6d6af212ac6a49af8311ac256197fd7a.png" TargetMode="External"/><Relationship Id="rId18" Type="http://schemas.openxmlformats.org/officeDocument/2006/relationships/hyperlink" Target="https://eo-sgp-cos.ruijie.com/background/other/2023-03-26/cd25355ce96540c0be36c6d6a4197ceb.png" TargetMode="External"/><Relationship Id="rId84" Type="http://schemas.openxmlformats.org/officeDocument/2006/relationships/hyperlink" Target="https://sysnetcenter.com/10420-home_default/ruijie-rg-sf2920u-8gt1ms-8-port-switch-25g-uplink-optical-port.webp" TargetMode="External"/><Relationship Id="rId83" Type="http://schemas.openxmlformats.org/officeDocument/2006/relationships/hyperlink" Target="https://sysnetcenter.com/10895-home_default/ruijie-rg-s2915-24gt4ms-l-l2-managed-switch-24-port-lan-10gbps.webp" TargetMode="External"/><Relationship Id="rId86" Type="http://schemas.openxmlformats.org/officeDocument/2006/relationships/hyperlink" Target="https://sysnetcenter.com/8913-home_default/ruijie-rg-s1810g-p-unmanaged-gigabit-poe-switch-8-port-2-sfp.webp" TargetMode="External"/><Relationship Id="rId85" Type="http://schemas.openxmlformats.org/officeDocument/2006/relationships/hyperlink" Target="https://sysnetcenter.com/9025-home_default/ruijie-xs-s1930j-18gt-2sfp-l2-managed-gigabit-switch-18-port-2-port-sfp.webp" TargetMode="External"/><Relationship Id="rId88" Type="http://schemas.openxmlformats.org/officeDocument/2006/relationships/hyperlink" Target="https://sysnetcenter.com/8658-home_default/ruijie-rg-s5750c-48gt4xs-h-l3-managed-gigabit-switch-48-port.webp" TargetMode="External"/><Relationship Id="rId87" Type="http://schemas.openxmlformats.org/officeDocument/2006/relationships/hyperlink" Target="https://sysnetcenter.com/8902-home_default/ruijie-rg-s5760c-48gt4xs-x-l3-managed-gigabit-switch-48-port-4-port-sfp-plus.webp" TargetMode="External"/><Relationship Id="rId89" Type="http://schemas.openxmlformats.org/officeDocument/2006/relationships/hyperlink" Target="https://sysnetcenter.com/7736-home_default/ruijie-rg-s2910-48gt4xs-e-l2-managed-gigabit-switch-48-port.webp" TargetMode="External"/><Relationship Id="rId80" Type="http://schemas.openxmlformats.org/officeDocument/2006/relationships/hyperlink" Target="https://sysnetcenter.com/14512-home_default/rg-cs85-24sfp8gt8xs-d-ruijie-l3-managed-switch-24-sfp-8-sfp-plus.webp" TargetMode="External"/><Relationship Id="rId82" Type="http://schemas.openxmlformats.org/officeDocument/2006/relationships/hyperlink" Target="https://sysnetcenter.com/11213-home_default/rg-cs86-24xmg4xs4vs-upd-l3-managed-poe-multi-ge-switch-24-port-4-port-sfp28.webp" TargetMode="External"/><Relationship Id="rId81" Type="http://schemas.openxmlformats.org/officeDocument/2006/relationships/hyperlink" Target="https://sysnetcenter.com/11243-home_default/ruijie-rg-cs83-48gt4xs-p-l3-managed-poe-switch-48-port-4-port-sfp-poe.webp" TargetMode="External"/><Relationship Id="rId73" Type="http://schemas.openxmlformats.org/officeDocument/2006/relationships/hyperlink" Target="https://sysnetcenter.com/9032-home_default/ruijie-xs-s1930j-24gt4sfp2gt-l2-managed-gigabit-switch-26-port-4-port-sfp.webp" TargetMode="External"/><Relationship Id="rId72" Type="http://schemas.openxmlformats.org/officeDocument/2006/relationships/hyperlink" Target="https://sysnetcenter.com/10425-home_default/ruijie-rg-sf2920u-8gt1ms-p-8-port-poe-switch-2g-sfp.webp" TargetMode="External"/><Relationship Id="rId75" Type="http://schemas.openxmlformats.org/officeDocument/2006/relationships/hyperlink" Target="https://sysnetcenter.com/8903-home_default/ruijie-rg-s5760c-24sfp8gt8xs-x-l3-managed-switch-24-port-sfp-8-port-sfp-plus.webp" TargetMode="External"/><Relationship Id="rId74" Type="http://schemas.openxmlformats.org/officeDocument/2006/relationships/hyperlink" Target="https://sysnetcenter.com/8915-home_default/ruijie-rg-s1826g-p-unmanaged-gigabit-poe-switch-24-port-poe-370w.webp" TargetMode="External"/><Relationship Id="rId77" Type="http://schemas.openxmlformats.org/officeDocument/2006/relationships/hyperlink" Target="https://sysnetcenter.com/8663-home_default/ruijie-rg-s5750c-28sfp4xs-h-l3-managed-sfp-switch-28-port.webp" TargetMode="External"/><Relationship Id="rId76" Type="http://schemas.openxmlformats.org/officeDocument/2006/relationships/hyperlink" Target="https://sysnetcenter.com/8955-home_default/ruijie-3-rg-s5300-24gt4xs-e-l3-managed-switch-24-port.webp" TargetMode="External"/><Relationship Id="rId79" Type="http://schemas.openxmlformats.org/officeDocument/2006/relationships/hyperlink" Target="https://sysnetcenter.com/7726-home_default/ruijie-rg-es109g-lp-l-unmanaged-gigabit-poe-switch-8-port.webp" TargetMode="External"/><Relationship Id="rId78" Type="http://schemas.openxmlformats.org/officeDocument/2006/relationships/hyperlink" Target="https://sysnetcenter.com/7811-home_default/ruijie-rg-s2910c-24gt2xs-hp-e-l2-managed-gigabit-poe-switch-24-port-sfp-plus.webp" TargetMode="External"/><Relationship Id="rId71" Type="http://schemas.openxmlformats.org/officeDocument/2006/relationships/hyperlink" Target="https://sysnetcenter.com/10775-home_default/ruijie-rg-s2915-24gt4ms-p-l-l2-managed-poe-switch-24-port-gigabit.webp" TargetMode="External"/><Relationship Id="rId70" Type="http://schemas.openxmlformats.org/officeDocument/2006/relationships/hyperlink" Target="https://sysnetcenter.com/11237-home_default/rg-cs86-24mg4vs-up-l3-managed-poe-multi-ge-switch-24-port-4-port-sfp28.webp" TargetMode="External"/><Relationship Id="rId62" Type="http://schemas.openxmlformats.org/officeDocument/2006/relationships/hyperlink" Target="https://sysnetcenter.com/11251-home_default/ruijie-rg-cs83-24gt4xs-l3-managed-switch-24-port.webp" TargetMode="External"/><Relationship Id="rId61" Type="http://schemas.openxmlformats.org/officeDocument/2006/relationships/hyperlink" Target="https://sysnetcenter.com/14525-home_default/rg-cs85-48sfp4xs-d-ruijie-l3-managed-sfp-switch-48-port.webp" TargetMode="External"/><Relationship Id="rId64" Type="http://schemas.openxmlformats.org/officeDocument/2006/relationships/hyperlink" Target="https://sysnetcenter.com/10434-home_default/ruijie-rg-sf2920-8gt2mg2xs-8-port-switch-2g-port-lan-10g-sfp.webp" TargetMode="External"/><Relationship Id="rId63" Type="http://schemas.openxmlformats.org/officeDocument/2006/relationships/hyperlink" Target="https://sysnetcenter.com/10778-home_default/ruijie-rg-s2915-48gt4ms-l-l2-managed-switch-48-port.webp" TargetMode="External"/><Relationship Id="rId66" Type="http://schemas.openxmlformats.org/officeDocument/2006/relationships/hyperlink" Target="https://sysnetcenter.com/8664-home_default/ruijie-rg-s5750c-48sfp4xs-h-l3-managed-sfp-switch-48-port.webp" TargetMode="External"/><Relationship Id="rId65" Type="http://schemas.openxmlformats.org/officeDocument/2006/relationships/hyperlink" Target="https://sysnetcenter.com/9037-home_default/ruijie-xs-s1930j-48gt4sfp-l2-managed-gigabit-switch-48-port-4-port-sfp.webp" TargetMode="External"/><Relationship Id="rId68" Type="http://schemas.openxmlformats.org/officeDocument/2006/relationships/hyperlink" Target="https://sysnetcenter.com/14514-home_default/rg-cs85-48gt4xs-d-ruijie-l3-managed-switch-48-port-8-sfp.webp" TargetMode="External"/><Relationship Id="rId67" Type="http://schemas.openxmlformats.org/officeDocument/2006/relationships/hyperlink" Target="https://sysnetcenter.com/7812-home_default/ruijie-rg-s2910c-48gt2xs-hp-e-l2-managed-gigabit-poe-switch-48-port-sfp-plus.webp" TargetMode="External"/><Relationship Id="rId60" Type="http://schemas.openxmlformats.org/officeDocument/2006/relationships/hyperlink" Target="https://sysnetcenter.com/14542-home_default/rg-cs86-12xmg4vs-up-ruijie-l3-managed-poe-switch-12-port-multi-ge.webp" TargetMode="External"/><Relationship Id="rId69" Type="http://schemas.openxmlformats.org/officeDocument/2006/relationships/hyperlink" Target="https://sysnetcenter.com/11247-home_default/ruijie-rg-cs83-12gt4xs-p-l3-managed-poe-switch-12-port-4-port-sfp-poe.webp" TargetMode="External"/><Relationship Id="rId51" Type="http://schemas.openxmlformats.org/officeDocument/2006/relationships/hyperlink" Target="https://sysnetcenter.com/10457-home_default/rg-sf2920-16gt2mg2xs-p-ruijie-multi-ge-poe-switch-16-port.webp" TargetMode="External"/><Relationship Id="rId50" Type="http://schemas.openxmlformats.org/officeDocument/2006/relationships/hyperlink" Target="https://sysnetcenter.com/10466-home_default/rg-sf2920-16gt2sfp-ruijie-gigabit-switch-16-port-2-sfp.webp" TargetMode="External"/><Relationship Id="rId53" Type="http://schemas.openxmlformats.org/officeDocument/2006/relationships/hyperlink" Target="https://sysnetcenter.com/10456-home_default/rg-sf2920-16gt2mg2xs-ruijie-multi-ge-switch-16-port.webp" TargetMode="External"/><Relationship Id="rId52" Type="http://schemas.openxmlformats.org/officeDocument/2006/relationships/hyperlink" Target="https://sysnetcenter.com/9059-home_default/ruijie-xs-s1930j-24gt4sfp2gt-p-l2-managed-poe-switch-24-port.webp" TargetMode="External"/><Relationship Id="rId55" Type="http://schemas.openxmlformats.org/officeDocument/2006/relationships/hyperlink" Target="https://sysnetcenter.com/8958-home_default/ruijie-3-rg-s5300-48gt4xs-e-l3-managed-switch-48-port.webp" TargetMode="External"/><Relationship Id="rId54" Type="http://schemas.openxmlformats.org/officeDocument/2006/relationships/hyperlink" Target="https://sysnetcenter.com/9054-home_default/ruijie-xs-s1930j-18gt2sfp-p-l2-managed-poe-switch-18-port.webp" TargetMode="External"/><Relationship Id="rId57" Type="http://schemas.openxmlformats.org/officeDocument/2006/relationships/hyperlink" Target="https://sysnetcenter.com/11255-home_default/ruijie-rg-cs83-48gt4xs-l3-managed-switch-48-port.webp" TargetMode="External"/><Relationship Id="rId56" Type="http://schemas.openxmlformats.org/officeDocument/2006/relationships/hyperlink" Target="https://sysnetcenter.com/14532-home_default/rg-cs85-48gt4xs-hpd-ruijie-l3-managed-poe-switch-48-port.webp" TargetMode="External"/><Relationship Id="rId59" Type="http://schemas.openxmlformats.org/officeDocument/2006/relationships/hyperlink" Target="https://sysnetcenter.com/9046-home_default/ruijie-xs-s1930j-8gt2sfp-p-l2-managed-poe-switch-8-port.webp" TargetMode="External"/><Relationship Id="rId58" Type="http://schemas.openxmlformats.org/officeDocument/2006/relationships/hyperlink" Target="https://sysnetcenter.com/10441-home_default/ruijie-rg-sf2920-8gt2mg2xs-p-8-port-poe-switch-5g-10g-sfp.webp" TargetMode="External"/><Relationship Id="rId107" Type="http://schemas.openxmlformats.org/officeDocument/2006/relationships/hyperlink" Target="https://sysnetcenter.com/8951-home_default/ruijie-rg-s5310-24gt4xs-p-e-l3-managed-poe-switch-24-port.webp" TargetMode="External"/><Relationship Id="rId228" Type="http://schemas.openxmlformats.org/officeDocument/2006/relationships/hyperlink" Target="https://eo-sgp-cos.ruijie.com/background/other/2025-05-15/Frame%204-20250515-092641.png" TargetMode="External"/><Relationship Id="rId349" Type="http://schemas.openxmlformats.org/officeDocument/2006/relationships/hyperlink" Target="https://sysnetcenter.com/12249-large_default/uacc-cm-rj45-1g-ubiquiti-unifi-sfp-to-rj45-adapter.webp" TargetMode="External"/><Relationship Id="rId106" Type="http://schemas.openxmlformats.org/officeDocument/2006/relationships/hyperlink" Target="https://sysnetcenter.com/8954-home_default/ruijie-rg-s5310-48gt4xs-p-e-l3-managed-poe-switch-48-port.webp" TargetMode="External"/><Relationship Id="rId227" Type="http://schemas.openxmlformats.org/officeDocument/2006/relationships/hyperlink" Target="https://eo-sgp-cos.ruijie.com/background/other/2025-05-15/Frame%201-20250515-092641.png" TargetMode="External"/><Relationship Id="rId348" Type="http://schemas.openxmlformats.org/officeDocument/2006/relationships/hyperlink" Target="https://sysnetcenter.com/12248-large_default/uacc-cm-rj45-1g-ubiquiti-unifi-sfp-to-rj45-adapter.webp" TargetMode="External"/><Relationship Id="rId105" Type="http://schemas.openxmlformats.org/officeDocument/2006/relationships/hyperlink" Target="https://sysnetcenter.com/7702-home_default/ruijie-rg-s2928g-e-v3-l3-managed-gigabit-switch-24-port.webp" TargetMode="External"/><Relationship Id="rId226" Type="http://schemas.openxmlformats.org/officeDocument/2006/relationships/hyperlink" Target="https://eo-sgp-cos.ruijie.com/background/other/2024-08-01/f8ebcfe6bb8f4858887acb645f1a9f5e.png" TargetMode="External"/><Relationship Id="rId347" Type="http://schemas.openxmlformats.org/officeDocument/2006/relationships/hyperlink" Target="https://sysnetcenter.com/12250-large_default/uacc-cm-rj45-1g-ubiquiti-unifi-sfp-to-rj45-adapter.webp" TargetMode="External"/><Relationship Id="rId104" Type="http://schemas.openxmlformats.org/officeDocument/2006/relationships/hyperlink" Target="https://sysnetcenter.com/7713-home_default/ruijie-rg-es126g-p-l-unmanaged-gigabit-poe-switch-24-port-370w.webp" TargetMode="External"/><Relationship Id="rId225" Type="http://schemas.openxmlformats.org/officeDocument/2006/relationships/hyperlink" Target="https://eo-sgp-cos.ruijie.com/background/other/2024-08-01/4b6744e37af847ae96a67cb1d80a78d5.png" TargetMode="External"/><Relationship Id="rId346" Type="http://schemas.openxmlformats.org/officeDocument/2006/relationships/hyperlink" Target="https://sysnetcenter.com/12254-large_default/ubiquiti-uacc-om-sfp28-lr-25gbps-single-mode-optical-module.webp" TargetMode="External"/><Relationship Id="rId109" Type="http://schemas.openxmlformats.org/officeDocument/2006/relationships/hyperlink" Target="https://sysnetcenter.com/14225-large_default/rg-ws6012-l-ruijie-high-performance-10-gbps-wireless-access-controller.webp" TargetMode="External"/><Relationship Id="rId108" Type="http://schemas.openxmlformats.org/officeDocument/2006/relationships/hyperlink" Target="https://sysnetcenter.com/7671-home_default/ruijie-rg-e-130ge-poe-injector-at-poe-53v-30w-gigabit.webp" TargetMode="External"/><Relationship Id="rId229" Type="http://schemas.openxmlformats.org/officeDocument/2006/relationships/hyperlink" Target="https://eo-sgp-cos.ruijie.com/background/other/2025-06-17/Frame%203-20250617-163627.png" TargetMode="External"/><Relationship Id="rId220" Type="http://schemas.openxmlformats.org/officeDocument/2006/relationships/hyperlink" Target="https://eo-sgp-cos.ruijie.com/FU/Upload/Product/2022/7-13/202271345685718.png" TargetMode="External"/><Relationship Id="rId341" Type="http://schemas.openxmlformats.org/officeDocument/2006/relationships/hyperlink" Target="https://high-wireless.com/wp-content/uploads/2023/10/UACC-OM-SFP28-SR.jpg" TargetMode="External"/><Relationship Id="rId340" Type="http://schemas.openxmlformats.org/officeDocument/2006/relationships/hyperlink" Target="https://high-wireless.com/wp-content/uploads/2022/04/uf-sm-10g-s-back.jpg" TargetMode="External"/><Relationship Id="rId103" Type="http://schemas.openxmlformats.org/officeDocument/2006/relationships/hyperlink" Target="https://sysnetcenter.com/7731-home_default/ruijie-rg-s2910-24gt4xs-e-l2-managed-gigabit-switch-24-port.webp" TargetMode="External"/><Relationship Id="rId224" Type="http://schemas.openxmlformats.org/officeDocument/2006/relationships/hyperlink" Target="https://eo-sgp-cos.ruijie.com/FU/Upload/Product/2022/7-13/202271341653902.png" TargetMode="External"/><Relationship Id="rId345" Type="http://schemas.openxmlformats.org/officeDocument/2006/relationships/hyperlink" Target="https://sysnetcenter.com/12252-large_default/ubiquiti-uacc-om-sfp28-lr-25gbps-single-mode-optical-module.webp" TargetMode="External"/><Relationship Id="rId102" Type="http://schemas.openxmlformats.org/officeDocument/2006/relationships/hyperlink" Target="https://sysnetcenter.com/7840-home_default/ruijie-rg-s5750c-28gt4xs-h-l3-managed-gigabit-switch-24-port.webp" TargetMode="External"/><Relationship Id="rId223" Type="http://schemas.openxmlformats.org/officeDocument/2006/relationships/hyperlink" Target="https://eo-sgp-cos.ruijie.com/FU/Upload/Product/2022/7-13/202271341513763.png" TargetMode="External"/><Relationship Id="rId344" Type="http://schemas.openxmlformats.org/officeDocument/2006/relationships/hyperlink" Target="https://sysnetcenter.com/12253-large_default/ubiquiti-uacc-om-sfp28-lr-25gbps-single-mode-optical-module.webp" TargetMode="External"/><Relationship Id="rId101" Type="http://schemas.openxmlformats.org/officeDocument/2006/relationships/hyperlink" Target="https://sysnetcenter.com/8901-home_default/ruijie-rg-s5760c-24gt8xs-x-l3-managed-gigabit-switch-24-port-8-port-sfp-plus.webp" TargetMode="External"/><Relationship Id="rId222" Type="http://schemas.openxmlformats.org/officeDocument/2006/relationships/hyperlink" Target="https://eo-sgp-cos.ruijie.com/FU/Upload/Product/2022/7-13/202271341372101.png" TargetMode="External"/><Relationship Id="rId343" Type="http://schemas.openxmlformats.org/officeDocument/2006/relationships/hyperlink" Target="https://high-wireless.com/wp-content/uploads/2023/10/UACC-OM-SFP28-SR_03.jpg" TargetMode="External"/><Relationship Id="rId100" Type="http://schemas.openxmlformats.org/officeDocument/2006/relationships/hyperlink" Target="https://sysnetcenter.com/8911-home_default/ruijie-rg-s1809-p-unmanaged-poe-switch-8-port-1-port-gigabit.webp" TargetMode="External"/><Relationship Id="rId221" Type="http://schemas.openxmlformats.org/officeDocument/2006/relationships/hyperlink" Target="https://eo-sgp-cos.ruijie.com/FU/Upload/Product/2022/7-13/202271345966519.png" TargetMode="External"/><Relationship Id="rId342" Type="http://schemas.openxmlformats.org/officeDocument/2006/relationships/hyperlink" Target="https://high-wireless.com/wp-content/uploads/2023/10/UACC-OM-SFP28-SR_04.jpg" TargetMode="External"/><Relationship Id="rId217" Type="http://schemas.openxmlformats.org/officeDocument/2006/relationships/hyperlink" Target="https://eo-sgp-cos.ruijie.com/FU/Upload/Product/2022/7-13/202271348997570.png" TargetMode="External"/><Relationship Id="rId338" Type="http://schemas.openxmlformats.org/officeDocument/2006/relationships/hyperlink" Target="https://high-wireless.com/wp-content/uploads/2022/04/uf-sm-10g-back.jpg" TargetMode="External"/><Relationship Id="rId216" Type="http://schemas.openxmlformats.org/officeDocument/2006/relationships/hyperlink" Target="https://eo-sgp-cos.ruijie.com/FU/Upload/Product/2022/7-13/202271348856430.png" TargetMode="External"/><Relationship Id="rId337" Type="http://schemas.openxmlformats.org/officeDocument/2006/relationships/hyperlink" Target="https://high-wireless.com/wp-content/uploads/2022/04/uf-sm-10g-front.jpg" TargetMode="External"/><Relationship Id="rId215" Type="http://schemas.openxmlformats.org/officeDocument/2006/relationships/hyperlink" Target="https://eo-sgp-cos.ruijie.com/background/other/2025-06-10/4-20250610-100958.png" TargetMode="External"/><Relationship Id="rId336" Type="http://schemas.openxmlformats.org/officeDocument/2006/relationships/hyperlink" Target="https://high-wireless.com/wp-content/uploads/2022/04/uf-mm-10g-back.jpg" TargetMode="External"/><Relationship Id="rId214" Type="http://schemas.openxmlformats.org/officeDocument/2006/relationships/hyperlink" Target="https://eo-sgp-cos.ruijie.com/background/other/2025-06-10/1-20250610-100958.png" TargetMode="External"/><Relationship Id="rId335" Type="http://schemas.openxmlformats.org/officeDocument/2006/relationships/hyperlink" Target="https://high-wireless.com/wp-content/uploads/2022/04/uf-mm-10g-front.jpg" TargetMode="External"/><Relationship Id="rId219" Type="http://schemas.openxmlformats.org/officeDocument/2006/relationships/hyperlink" Target="https://eo-sgp-cos.ruijie.com/FU/Upload/Product/2022/7-13/202271345685718.png" TargetMode="External"/><Relationship Id="rId218" Type="http://schemas.openxmlformats.org/officeDocument/2006/relationships/hyperlink" Target="https://eo-sgp-cos.ruijie.com/FU/Upload/Product/2022/7-13/202271348278371.png" TargetMode="External"/><Relationship Id="rId339" Type="http://schemas.openxmlformats.org/officeDocument/2006/relationships/hyperlink" Target="https://high-wireless.com/wp-content/uploads/2022/04/uf-sm-10g-s-front.jpg" TargetMode="External"/><Relationship Id="rId330" Type="http://schemas.openxmlformats.org/officeDocument/2006/relationships/hyperlink" Target="https://www.sys2u.online/images/20250307-144636-2.jpg" TargetMode="External"/><Relationship Id="rId213" Type="http://schemas.openxmlformats.org/officeDocument/2006/relationships/hyperlink" Target="https://eo-sgp-cos.ruijie.com/background/other/2025-06-10/2-20250610-100957.png" TargetMode="External"/><Relationship Id="rId334" Type="http://schemas.openxmlformats.org/officeDocument/2006/relationships/hyperlink" Target="https://high-wireless.com/wp-content/uploads/2022/04/uf-sm-1g-s-back.jpg" TargetMode="External"/><Relationship Id="rId212" Type="http://schemas.openxmlformats.org/officeDocument/2006/relationships/hyperlink" Target="https://eo-sgp-cos.ruijie.com/background/other/2024-03-21/2ac5f6cce8c14391a71a195f76a12f1a.png" TargetMode="External"/><Relationship Id="rId333" Type="http://schemas.openxmlformats.org/officeDocument/2006/relationships/hyperlink" Target="https://high-wireless.com/wp-content/uploads/2022/04/uf-sm-1g-s-front.jpg" TargetMode="External"/><Relationship Id="rId211" Type="http://schemas.openxmlformats.org/officeDocument/2006/relationships/hyperlink" Target="https://eo-sgp-cos.ruijie.com/background/other/2024-03-21/5fcbe0dbc2ad4ead8b4165254b47ab3f.png" TargetMode="External"/><Relationship Id="rId332" Type="http://schemas.openxmlformats.org/officeDocument/2006/relationships/hyperlink" Target="https://high-wireless.com/wp-content/uploads/2022/04/uf-mm-1g-back.jpg" TargetMode="External"/><Relationship Id="rId210" Type="http://schemas.openxmlformats.org/officeDocument/2006/relationships/hyperlink" Target="https://eo-sgp-cos.ruijie.com/background/other/2024-03-21/1d8d0af3d0ef4ba6ba328644c81d1576.png" TargetMode="External"/><Relationship Id="rId331" Type="http://schemas.openxmlformats.org/officeDocument/2006/relationships/hyperlink" Target="https://high-wireless.com/wp-content/uploads/2022/04/uf-mm-1g-front.jpg" TargetMode="External"/><Relationship Id="rId370" Type="http://schemas.openxmlformats.org/officeDocument/2006/relationships/hyperlink" Target="https://sysnetcenter.com/6266-large_default/ubiquiti-unifi-uma-d-directional-dual-band-antenna-uap-ac-m.webp" TargetMode="External"/><Relationship Id="rId129" Type="http://schemas.openxmlformats.org/officeDocument/2006/relationships/hyperlink" Target="https://eo-sgp-cos.ruijie.com/background/other/2024-11-14/Frame%203-20241114-141614.png" TargetMode="External"/><Relationship Id="rId128" Type="http://schemas.openxmlformats.org/officeDocument/2006/relationships/hyperlink" Target="https://eo-sgp-cos.ruijie.com/background/other/2025-04-18/Frame%206-20250418-153413.png" TargetMode="External"/><Relationship Id="rId249" Type="http://schemas.openxmlformats.org/officeDocument/2006/relationships/hyperlink" Target="https://eo-sgp-cos.ruijie.com/FU/Upload/Product/2022/5-10/202251027744195.png" TargetMode="External"/><Relationship Id="rId127" Type="http://schemas.openxmlformats.org/officeDocument/2006/relationships/hyperlink" Target="https://eo-sgp-cos.ruijie.com/background/other/2025-04-18/Frame%205-20250418-153413.png" TargetMode="External"/><Relationship Id="rId248" Type="http://schemas.openxmlformats.org/officeDocument/2006/relationships/hyperlink" Target="https://eo-sgp-cos.ruijie.com/FU/Upload/Product/2022/5-10/202251027525239.png" TargetMode="External"/><Relationship Id="rId369" Type="http://schemas.openxmlformats.org/officeDocument/2006/relationships/hyperlink" Target="https://sysnetcenter.com/6267-large_default/ubiquiti-unifi-uma-d-directional-dual-band-antenna-uap-ac-m.webp" TargetMode="External"/><Relationship Id="rId126" Type="http://schemas.openxmlformats.org/officeDocument/2006/relationships/hyperlink" Target="https://eo-sgp-cos.ruijie.com/background/other/2025-04-18/Frame%201-20250418-153413.png" TargetMode="External"/><Relationship Id="rId247" Type="http://schemas.openxmlformats.org/officeDocument/2006/relationships/hyperlink" Target="https://eo-sgp-cos.ruijie.com/FU/Upload/Product/2022/5-10/2022510279465.png" TargetMode="External"/><Relationship Id="rId368" Type="http://schemas.openxmlformats.org/officeDocument/2006/relationships/hyperlink" Target="https://sysnetcenter.com/6265-large_default/ubiquiti-unifi-uma-d-directional-dual-band-antenna-uap-ac-m.webp" TargetMode="External"/><Relationship Id="rId121" Type="http://schemas.openxmlformats.org/officeDocument/2006/relationships/hyperlink" Target="https://eo-sgp-cos.ruijie.com/background/other/2025-07-17/Frame%2010-20250717-163240.png" TargetMode="External"/><Relationship Id="rId242" Type="http://schemas.openxmlformats.org/officeDocument/2006/relationships/hyperlink" Target="https://eo-sgp-cos.ruijie.com/FU/Upload/Product/2022/5-10/20225102532299.png" TargetMode="External"/><Relationship Id="rId363" Type="http://schemas.openxmlformats.org/officeDocument/2006/relationships/hyperlink" Target="https://www.sys2u.online/images/20170417-211638-2.jpg" TargetMode="External"/><Relationship Id="rId120" Type="http://schemas.openxmlformats.org/officeDocument/2006/relationships/hyperlink" Target="https://eo-sgp-cos.ruijie.com/background/other/2025-07-17/Frame%204-20250717-163241.png" TargetMode="External"/><Relationship Id="rId241" Type="http://schemas.openxmlformats.org/officeDocument/2006/relationships/hyperlink" Target="https://eo-sgp-cos.ruijie.com/background/other/2023-08-16/b8cf573fa17248b1a1bd7b025cc86add.png" TargetMode="External"/><Relationship Id="rId362" Type="http://schemas.openxmlformats.org/officeDocument/2006/relationships/hyperlink" Target="https://www.sys2u.online/images/20170417-211520-1.jpg" TargetMode="External"/><Relationship Id="rId240" Type="http://schemas.openxmlformats.org/officeDocument/2006/relationships/hyperlink" Target="https://eo-sgp-cos.ruijie.com/background/other/2023-08-16/b79f9c6b1fd542aea7d199d9f68065f9.png" TargetMode="External"/><Relationship Id="rId361" Type="http://schemas.openxmlformats.org/officeDocument/2006/relationships/hyperlink" Target="https://www.sys2u.online/images/20190806-124238-2.jpg" TargetMode="External"/><Relationship Id="rId360" Type="http://schemas.openxmlformats.org/officeDocument/2006/relationships/hyperlink" Target="https://www.sys2u.online/images/20190806-124349-3.jpg" TargetMode="External"/><Relationship Id="rId125" Type="http://schemas.openxmlformats.org/officeDocument/2006/relationships/hyperlink" Target="https://eo-sgp-cos.ruijie.com/background/other/2025-07-17/Frame%2012-20250717-171128.png" TargetMode="External"/><Relationship Id="rId246" Type="http://schemas.openxmlformats.org/officeDocument/2006/relationships/hyperlink" Target="https://eo-sgp-cos.ruijie.com/FU/Upload/Product/2022/5-10/2022510279465.png" TargetMode="External"/><Relationship Id="rId367" Type="http://schemas.openxmlformats.org/officeDocument/2006/relationships/hyperlink" Target="https://sysnetcenter.com/6582-large_default/ubiquiti-u-poe-af-poe-injector-48vdc-15w-port-gigabit-reset.webp" TargetMode="External"/><Relationship Id="rId124" Type="http://schemas.openxmlformats.org/officeDocument/2006/relationships/hyperlink" Target="https://eo-sgp-cos.ruijie.com/background/other/2025-07-17/Frame%2013-20250717-171128.png" TargetMode="External"/><Relationship Id="rId245" Type="http://schemas.openxmlformats.org/officeDocument/2006/relationships/hyperlink" Target="https://eo-sgp-cos.ruijie.com/FU/Upload/Product/2022/5-10/202251027197748.png" TargetMode="External"/><Relationship Id="rId366" Type="http://schemas.openxmlformats.org/officeDocument/2006/relationships/hyperlink" Target="https://sysnetcenter.com/6583-large_default/ubiquiti-u-poe-af-poe-injector-48vdc-15w-port-gigabit-reset.webp" TargetMode="External"/><Relationship Id="rId123" Type="http://schemas.openxmlformats.org/officeDocument/2006/relationships/hyperlink" Target="https://eo-sgp-cos.ruijie.com/background/other/2025-07-17/Frame%205-20250717-171128.png" TargetMode="External"/><Relationship Id="rId244" Type="http://schemas.openxmlformats.org/officeDocument/2006/relationships/hyperlink" Target="https://eo-sgp-cos.ruijie.com/FU/Upload/Product/2022/5-10/202251025306435.png" TargetMode="External"/><Relationship Id="rId365" Type="http://schemas.openxmlformats.org/officeDocument/2006/relationships/hyperlink" Target="https://sysnetcenter.com/6584-large_default/ubiquiti-u-poe-af-poe-injector-48vdc-15w-port-gigabit-reset.webp" TargetMode="External"/><Relationship Id="rId122" Type="http://schemas.openxmlformats.org/officeDocument/2006/relationships/hyperlink" Target="https://eo-sgp-cos.ruijie.com/background/other/2025-07-17/Frame%2014-20250717-163240.png" TargetMode="External"/><Relationship Id="rId243" Type="http://schemas.openxmlformats.org/officeDocument/2006/relationships/hyperlink" Target="https://eo-sgp-cos.ruijie.com/FU/Upload/Product/2022/5-10/202251025806842.png" TargetMode="External"/><Relationship Id="rId364" Type="http://schemas.openxmlformats.org/officeDocument/2006/relationships/hyperlink" Target="https://www.sys2u.online/images/20170417-211831-3.jpg" TargetMode="External"/><Relationship Id="rId95" Type="http://schemas.openxmlformats.org/officeDocument/2006/relationships/hyperlink" Target="https://sysnetcenter.com/11207-home_default/rg-cs86-48mg4vs2qxs-upd-l3-managed-poe-multi-ge-switch-48-port-4-port-sfp28.webp" TargetMode="External"/><Relationship Id="rId94" Type="http://schemas.openxmlformats.org/officeDocument/2006/relationships/hyperlink" Target="https://sysnetcenter.com/11240-home_default/ruijie-rg-cs83-24gt4xs-p-l3-managed-poe-switch-24-port-4-port-sfp.webp" TargetMode="External"/><Relationship Id="rId97" Type="http://schemas.openxmlformats.org/officeDocument/2006/relationships/hyperlink" Target="https://sysnetcenter.com/10416-home_default/ruijie-rg-sf2920u-4gt1ms-p-4-port-poe-switch-2g-sfp-port.webp" TargetMode="External"/><Relationship Id="rId96" Type="http://schemas.openxmlformats.org/officeDocument/2006/relationships/hyperlink" Target="https://sysnetcenter.com/10771-home_default/ruijie-rg-s2915-10gt2ms-p-l-l2-managed-poe-switch-8-port-lan.webp" TargetMode="External"/><Relationship Id="rId99" Type="http://schemas.openxmlformats.org/officeDocument/2006/relationships/hyperlink" Target="https://sysnetcenter.com/9019-home_default/ruijie-xs-s1930j-8gt2sfp-l2-managed-gigabit-switch-8-port-2-port-sfp.webp" TargetMode="External"/><Relationship Id="rId98" Type="http://schemas.openxmlformats.org/officeDocument/2006/relationships/hyperlink" Target="https://sysnetcenter.com/9752-home_default/ruijie-rg-s6120-20xs4vs2qxs-l3-managed-switch-sfp-plus-qsfp.webp" TargetMode="External"/><Relationship Id="rId91" Type="http://schemas.openxmlformats.org/officeDocument/2006/relationships/hyperlink" Target="https://sysnetcenter.com/7707-home_default/ruijie-rg-s2952g-e-v3-l3-managed-gigabit-switch-48-port.webp" TargetMode="External"/><Relationship Id="rId90" Type="http://schemas.openxmlformats.org/officeDocument/2006/relationships/hyperlink" Target="https://sysnetcenter.com/7718-home_default/ruijie-rg-es126g-lp-l-unmanaged-gigabit-poe-switch-24-port-180w.webp" TargetMode="External"/><Relationship Id="rId93" Type="http://schemas.openxmlformats.org/officeDocument/2006/relationships/hyperlink" Target="https://sysnetcenter.com/14219-home_default/rg-s5315-24mg6xs-up-e-ruijie-l3-managed-poe-switch-24port-multi-gig.webp" TargetMode="External"/><Relationship Id="rId92" Type="http://schemas.openxmlformats.org/officeDocument/2006/relationships/hyperlink" Target="https://sysnetcenter.com/14498-home_default/rg-cs85-24gt8xs-d-ruijie-l3-managed-switch-24-port-8-port-sfp.webp" TargetMode="External"/><Relationship Id="rId118" Type="http://schemas.openxmlformats.org/officeDocument/2006/relationships/hyperlink" Target="https://eo-sgp-cos.ruijie.com/background/other/2024-10-30/bff8a6c9d5d24c7f842995b5a20b3cbb.png" TargetMode="External"/><Relationship Id="rId239" Type="http://schemas.openxmlformats.org/officeDocument/2006/relationships/hyperlink" Target="https://eo-sgp-cos.ruijie.com/background/other/2023-08-16/75b3a6fe28f24e829ac863e3b710eb78.png" TargetMode="External"/><Relationship Id="rId117" Type="http://schemas.openxmlformats.org/officeDocument/2006/relationships/hyperlink" Target="https://eo-sgp-cos.ruijie.com/background/other/2024-10-30/e290b76adaf74107904b16a0ad0e28dc.png" TargetMode="External"/><Relationship Id="rId238" Type="http://schemas.openxmlformats.org/officeDocument/2006/relationships/hyperlink" Target="https://eo-sgp-cos.ruijie.com/FU/Upload/Product/2022/5-30/202253049779237.png" TargetMode="External"/><Relationship Id="rId359" Type="http://schemas.openxmlformats.org/officeDocument/2006/relationships/hyperlink" Target="https://www.sys2u.online/images/20190806-122631-1.jpg" TargetMode="External"/><Relationship Id="rId116" Type="http://schemas.openxmlformats.org/officeDocument/2006/relationships/hyperlink" Target="https://sysnetcenter.com/7682-large_default/ruijie-rg-ws6008-next-gen-wireless-controller.webp" TargetMode="External"/><Relationship Id="rId237" Type="http://schemas.openxmlformats.org/officeDocument/2006/relationships/hyperlink" Target="https://eo-sgp-cos.ruijie.com/FU/Upload/Product/2022/5-10/202251015197717.png" TargetMode="External"/><Relationship Id="rId358" Type="http://schemas.openxmlformats.org/officeDocument/2006/relationships/hyperlink" Target="https://sysnetcenter.com/8967-large_default/ubiquiti-u-poe-at-poe-injector-port-gigabit-8023at-30w.webp" TargetMode="External"/><Relationship Id="rId115" Type="http://schemas.openxmlformats.org/officeDocument/2006/relationships/hyperlink" Target="https://sysnetcenter.com/7680-large_default/ruijie-rg-ws6008-next-gen-wireless-controller.webp" TargetMode="External"/><Relationship Id="rId236" Type="http://schemas.openxmlformats.org/officeDocument/2006/relationships/hyperlink" Target="https://eo-sgp-cos.ruijie.com/FU/Upload/Product/2022/5-30/20225304963997.png" TargetMode="External"/><Relationship Id="rId357" Type="http://schemas.openxmlformats.org/officeDocument/2006/relationships/hyperlink" Target="https://sysnetcenter.com/8972-large_default/ubiquiti-u-poe-at-poe-injector-port-gigabit-8023at-30w.webp" TargetMode="External"/><Relationship Id="rId119" Type="http://schemas.openxmlformats.org/officeDocument/2006/relationships/hyperlink" Target="https://eo-sgp-cos.ruijie.com/background/other/2024-10-30/8f57c754c7f4490282b39cef2328e8d0.png" TargetMode="External"/><Relationship Id="rId110" Type="http://schemas.openxmlformats.org/officeDocument/2006/relationships/hyperlink" Target="https://sysnetcenter.com/14226-large_default/rg-ws6012-l-ruijie-high-performance-10-gbps-wireless-access-controller.webp" TargetMode="External"/><Relationship Id="rId231" Type="http://schemas.openxmlformats.org/officeDocument/2006/relationships/hyperlink" Target="https://eo-sgp-cos.ruijie.com/background/other/2025-06-17/Frame%202-20250617-164754.png" TargetMode="External"/><Relationship Id="rId352" Type="http://schemas.openxmlformats.org/officeDocument/2006/relationships/hyperlink" Target="https://sysnetcenter.com/12246-large_default/uacc-cm-rj45-mg-unifi-sfp-plus-to-rj45-adapter-10gbps.webp" TargetMode="External"/><Relationship Id="rId230" Type="http://schemas.openxmlformats.org/officeDocument/2006/relationships/hyperlink" Target="https://eo-sgp-cos.ruijie.com/background/other/2025-06-17/Frame%201-20250617-164754.png" TargetMode="External"/><Relationship Id="rId351" Type="http://schemas.openxmlformats.org/officeDocument/2006/relationships/hyperlink" Target="https://sysnetcenter.com/12245-large_default/uacc-cm-rj45-mg-unifi-sfp-plus-to-rj45-adapter-10gbps.webp" TargetMode="External"/><Relationship Id="rId350" Type="http://schemas.openxmlformats.org/officeDocument/2006/relationships/hyperlink" Target="https://sysnetcenter.com/12247-large_default/uacc-cm-rj45-mg-unifi-sfp-plus-to-rj45-adapter-10gbps.webp" TargetMode="External"/><Relationship Id="rId114" Type="http://schemas.openxmlformats.org/officeDocument/2006/relationships/hyperlink" Target="https://sysnetcenter.com/7681-large_default/ruijie-rg-ws6008-next-gen-wireless-controller.webp" TargetMode="External"/><Relationship Id="rId235" Type="http://schemas.openxmlformats.org/officeDocument/2006/relationships/hyperlink" Target="https://eo-sgp-cos.ruijie.com/FU/Upload/Product/2022/5-30/202253045889593.png" TargetMode="External"/><Relationship Id="rId356" Type="http://schemas.openxmlformats.org/officeDocument/2006/relationships/hyperlink" Target="https://sysnetcenter.com/8969-large_default/ubiquiti-u-poe-at-poe-injector-port-gigabit-8023at-30w.webp" TargetMode="External"/><Relationship Id="rId113" Type="http://schemas.openxmlformats.org/officeDocument/2006/relationships/hyperlink" Target="https://sysnetcenter.com/7701-large_default/ruijie-rg-rg-ws6108-next-gen-wireless-controller-ap.webp" TargetMode="External"/><Relationship Id="rId234" Type="http://schemas.openxmlformats.org/officeDocument/2006/relationships/hyperlink" Target="https://eo-sgp-cos.ruijie.com/FU/Upload/Product/2022/5-30/202253045623627.png" TargetMode="External"/><Relationship Id="rId355" Type="http://schemas.openxmlformats.org/officeDocument/2006/relationships/hyperlink" Target="https://sysnetcenter.com/12244-large_default/uacc-lre-unifi-long-range-ethernet-repeater.webp" TargetMode="External"/><Relationship Id="rId112" Type="http://schemas.openxmlformats.org/officeDocument/2006/relationships/hyperlink" Target="https://sysnetcenter.com/7700-large_default/ruijie-rg-rg-ws6108-next-gen-wireless-controller-ap.webp" TargetMode="External"/><Relationship Id="rId233" Type="http://schemas.openxmlformats.org/officeDocument/2006/relationships/hyperlink" Target="https://eo-sgp-cos.ruijie.com/FU/Upload/Product/2022/5-30/202253045764289.png" TargetMode="External"/><Relationship Id="rId354" Type="http://schemas.openxmlformats.org/officeDocument/2006/relationships/hyperlink" Target="https://sysnetcenter.com/12243-large_default/uacc-lre-unifi-long-range-ethernet-repeater.webp" TargetMode="External"/><Relationship Id="rId111" Type="http://schemas.openxmlformats.org/officeDocument/2006/relationships/hyperlink" Target="https://sysnetcenter.com/14227-large_default/rg-ws6012-l-ruijie-high-performance-10-gbps-wireless-access-controller.webp" TargetMode="External"/><Relationship Id="rId232" Type="http://schemas.openxmlformats.org/officeDocument/2006/relationships/hyperlink" Target="https://eo-sgp-cos.ruijie.com/background/other/2025-06-17/Frame%203-20250617-164754.png" TargetMode="External"/><Relationship Id="rId353" Type="http://schemas.openxmlformats.org/officeDocument/2006/relationships/hyperlink" Target="https://sysnetcenter.com/12241-large_default/uacc-lre-unifi-long-range-ethernet-repeater.webp" TargetMode="External"/><Relationship Id="rId305" Type="http://schemas.openxmlformats.org/officeDocument/2006/relationships/hyperlink" Target="https://sysnetcenter.com/12173-home_default/udm-pro-max-unifi-dream-machine-pro-max-cloud-gateway.webp" TargetMode="External"/><Relationship Id="rId304" Type="http://schemas.openxmlformats.org/officeDocument/2006/relationships/hyperlink" Target="https://sysnetcenter.com/12207-home_default/uxg-max-ubiquiti-unifi-gateway-max-sd-wan-vpn-wireguard-l2tp.webp" TargetMode="External"/><Relationship Id="rId303" Type="http://schemas.openxmlformats.org/officeDocument/2006/relationships/hyperlink" Target="https://sysnetcenter.com/13264-home_default/unifi-express-ux-ubiquiti-unifi-gateway-access-point-wifi6.webp" TargetMode="External"/><Relationship Id="rId302" Type="http://schemas.openxmlformats.org/officeDocument/2006/relationships/hyperlink" Target="https://sysnetcenter.com/14367-home_default/unifi-express7-ux7-ubiquiti-unifi-gateway-access-point-wifi7.webp" TargetMode="External"/><Relationship Id="rId309" Type="http://schemas.openxmlformats.org/officeDocument/2006/relationships/hyperlink" Target="https://sysnetcenter.com/11655-home_default/uxg-lite-ubiquiti-unifi-gateway-lite-sd-wan-vpn-wireguard-l2tp.webp" TargetMode="External"/><Relationship Id="rId308" Type="http://schemas.openxmlformats.org/officeDocument/2006/relationships/hyperlink" Target="https://www.sys2u.online/images/20241011-102921-11.jpg" TargetMode="External"/><Relationship Id="rId307" Type="http://schemas.openxmlformats.org/officeDocument/2006/relationships/hyperlink" Target="https://www.sys2u.online/images/20241007-153408-ucg-ultra-5.png" TargetMode="External"/><Relationship Id="rId306" Type="http://schemas.openxmlformats.org/officeDocument/2006/relationships/hyperlink" Target="https://www.sys2u.online/images/20241011-103001-ucg-ultra-2.png" TargetMode="External"/><Relationship Id="rId301" Type="http://schemas.openxmlformats.org/officeDocument/2006/relationships/hyperlink" Target="https://sysnetcenter.com/6917-home_default/ubiquiti-unifi-switch-usw-24-poe-gen2-l2-managed-gigabit-poe-switch-24-port-poe-12-port.webp" TargetMode="External"/><Relationship Id="rId300" Type="http://schemas.openxmlformats.org/officeDocument/2006/relationships/hyperlink" Target="https://sysnetcenter.com/6922-home_default/ubiquiti-unifi-switch-usw-pro-24-poe-gen2-l3-managed-gigabit-poe-switch-24-port.webp" TargetMode="External"/><Relationship Id="rId206" Type="http://schemas.openxmlformats.org/officeDocument/2006/relationships/hyperlink" Target="https://eo-sgp-cos.ruijie.com/background/other/2025-09-09/Frame%203-20250909-104328.png" TargetMode="External"/><Relationship Id="rId327" Type="http://schemas.openxmlformats.org/officeDocument/2006/relationships/hyperlink" Target="https://sysnetcenter.com/2278-home_default/ubiquiti-airvision-nvr-aircam-h264-hdd-500gb.webp" TargetMode="External"/><Relationship Id="rId205" Type="http://schemas.openxmlformats.org/officeDocument/2006/relationships/hyperlink" Target="https://eo-sgp-cos.ruijie.com/background/other/2025-09-09/Frame%202-20250909-104328.png" TargetMode="External"/><Relationship Id="rId326" Type="http://schemas.openxmlformats.org/officeDocument/2006/relationships/hyperlink" Target="https://sysnetcenter.com/5280-home_default/ubiquiti-unifi-nvr-uvc-nvr-2tb-unifi-video-hdd-2tb.webp" TargetMode="External"/><Relationship Id="rId204" Type="http://schemas.openxmlformats.org/officeDocument/2006/relationships/hyperlink" Target="https://eo-sgp-cos.ruijie.com/background/other/2025-09-09/Frame%201-20250909-104328.png" TargetMode="External"/><Relationship Id="rId325" Type="http://schemas.openxmlformats.org/officeDocument/2006/relationships/hyperlink" Target="https://sysnetcenter.com/6055-home_default/ubiquiti-unifi-video-camera-g3-pro-uvc-g3-pro-ip-camera-outdoor-zoom.webp" TargetMode="External"/><Relationship Id="rId203" Type="http://schemas.openxmlformats.org/officeDocument/2006/relationships/hyperlink" Target="https://rshop.rweb-images.com/efjY81c1-VXDyQAKwz-JBmUKdOw=/722d393af10e4162b1a2df4ef3f91ee0" TargetMode="External"/><Relationship Id="rId324" Type="http://schemas.openxmlformats.org/officeDocument/2006/relationships/hyperlink" Target="https://sysnetcenter.com/3540-home_default/ubiquiti-unifi-video-camera-g3-uvc-g3-ip-camera-1080p-full-hd.webp" TargetMode="External"/><Relationship Id="rId209" Type="http://schemas.openxmlformats.org/officeDocument/2006/relationships/hyperlink" Target="https://eo-sgp-cos.ruijie.com/background/other/2025-09-09/Frame%203-20250909-100402.png" TargetMode="External"/><Relationship Id="rId208" Type="http://schemas.openxmlformats.org/officeDocument/2006/relationships/hyperlink" Target="https://eo-sgp-cos.ruijie.com/background/other/2025-09-09/Frame%202-20250909-100402.png" TargetMode="External"/><Relationship Id="rId329" Type="http://schemas.openxmlformats.org/officeDocument/2006/relationships/hyperlink" Target="https://www.sys2u.online/images/20250307-144649-3.jpg" TargetMode="External"/><Relationship Id="rId207" Type="http://schemas.openxmlformats.org/officeDocument/2006/relationships/hyperlink" Target="https://eo-sgp-cos.ruijie.com/background/other/2025-09-09/Frame%201-20250909-100402.png" TargetMode="External"/><Relationship Id="rId328" Type="http://schemas.openxmlformats.org/officeDocument/2006/relationships/hyperlink" Target="https://www.sys2u.online/images/20250307-144624-1.jpg" TargetMode="External"/><Relationship Id="rId202" Type="http://schemas.openxmlformats.org/officeDocument/2006/relationships/hyperlink" Target="https://rshop.rweb-images.com/Hl1z51bWEcL_8lW0tARZr5jq1Io=/6f3c854152d941548d010a8c0cdc7d40" TargetMode="External"/><Relationship Id="rId323" Type="http://schemas.openxmlformats.org/officeDocument/2006/relationships/hyperlink" Target="https://sysnetcenter.com/3543-home_default/ubiquiti-unifi-video-camera-g3-dome-uvc-g3-dome-ip-camera-1080p-full-hd.webp" TargetMode="External"/><Relationship Id="rId201" Type="http://schemas.openxmlformats.org/officeDocument/2006/relationships/hyperlink" Target="https://rshop.rweb-images.com/46sZ3KqiBNuDlqSYQLhnHKxTanY=/59668de571bf4beb95d1c6343fadfa92" TargetMode="External"/><Relationship Id="rId322" Type="http://schemas.openxmlformats.org/officeDocument/2006/relationships/hyperlink" Target="https://sysnetcenter.com/5336-home_default/ubiquiti-unifi-video-camera-uvc-g3-af-ip-camera-outdoor-1080p-full-hd.webp" TargetMode="External"/><Relationship Id="rId200" Type="http://schemas.openxmlformats.org/officeDocument/2006/relationships/hyperlink" Target="https://eo-sgp-cos.ruijie.com/FU/Upload/Product/2022/6-23/20226235143368.jpg" TargetMode="External"/><Relationship Id="rId321" Type="http://schemas.openxmlformats.org/officeDocument/2006/relationships/hyperlink" Target="https://sysnetcenter.com/6047-home_default/ubiquiti-unifi-video-camera-g3-flex-uvc-g3-flex-indoor-outdoor-poe-camera.webp" TargetMode="External"/><Relationship Id="rId320" Type="http://schemas.openxmlformats.org/officeDocument/2006/relationships/hyperlink" Target="https://sysnetcenter.com/6663-home_default/ubiquiti-unifi-video-camera-af-bullet-uvc-g3-bullet-ip-camera-1080p-full-hd-outdoor.webp" TargetMode="External"/><Relationship Id="rId316" Type="http://schemas.openxmlformats.org/officeDocument/2006/relationships/hyperlink" Target="https://sysnetcenter.com/6308-home_default/ubiquiti-unifi-cloud-key-gen2-uck-g2-unifi-controller.webp" TargetMode="External"/><Relationship Id="rId315" Type="http://schemas.openxmlformats.org/officeDocument/2006/relationships/hyperlink" Target="https://sysnetcenter.com/9799-home_default/ubiquiti-unifi-dream-machine-special-edition-udm-se-enterprise-network-appliance.webp" TargetMode="External"/><Relationship Id="rId314" Type="http://schemas.openxmlformats.org/officeDocument/2006/relationships/hyperlink" Target="https://sysnetcenter.com/13073-home_default/uck-g2-ssd-ubiquiti-unifi-cloudkey-full-unifi-app-managed-unifi.webp" TargetMode="External"/><Relationship Id="rId313" Type="http://schemas.openxmlformats.org/officeDocument/2006/relationships/hyperlink" Target="https://sysnetcenter.com/2868-home_default/ubiquiti-unifi-security-gateway-usg-firewall-router.webp" TargetMode="External"/><Relationship Id="rId319" Type="http://schemas.openxmlformats.org/officeDocument/2006/relationships/hyperlink" Target="https://sysnetcenter.com/6303-home_default/ubiquiti-unifi-cloud-key-uc-ck-unifi-controller.webp" TargetMode="External"/><Relationship Id="rId318" Type="http://schemas.openxmlformats.org/officeDocument/2006/relationships/hyperlink" Target="https://sysnetcenter.com/8070-home_default/cloud-key-g2-rack-mount-ckg2-rm-.webp" TargetMode="External"/><Relationship Id="rId317" Type="http://schemas.openxmlformats.org/officeDocument/2006/relationships/hyperlink" Target="https://sysnetcenter.com/6307-home_default/ubiquiti-unifi-cloud-key-gen2-plus-uck-g2-plus-unifi-controller.webp" TargetMode="External"/><Relationship Id="rId312" Type="http://schemas.openxmlformats.org/officeDocument/2006/relationships/hyperlink" Target="https://sysnetcenter.com/4537-home_default/ubiquiti-unifi-security-gateway-usg-pro-4-firewall-router-vlan-vpn-qos.webp" TargetMode="External"/><Relationship Id="rId311" Type="http://schemas.openxmlformats.org/officeDocument/2006/relationships/hyperlink" Target="https://sysnetcenter.com/7180-home_default/ubiquiti-unifi-dream-machine-udm-us-gateway-wireless-ac-switch-unifi-controller.webp" TargetMode="External"/><Relationship Id="rId310" Type="http://schemas.openxmlformats.org/officeDocument/2006/relationships/hyperlink" Target="https://sysnetcenter.com/7336-home_default/unifi-dream-machine-pro-udm-pro.web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27.13"/>
    <col customWidth="1" min="3" max="3" width="81.75"/>
    <col customWidth="1" min="4" max="4" width="28.63"/>
    <col customWidth="1" min="5" max="5" width="15.0"/>
    <col customWidth="1" min="6" max="6" width="22.13"/>
    <col customWidth="1" min="7" max="9" width="18.63"/>
    <col customWidth="1" min="10" max="10" width="7.5"/>
    <col customWidth="1" min="11" max="11" width="90.63"/>
    <col customWidth="1" min="12" max="12" width="85.38"/>
    <col customWidth="1" min="13" max="13" width="38.75"/>
    <col customWidth="1" min="14" max="14" width="80.13"/>
    <col customWidth="1" min="15" max="15" width="86.38"/>
    <col customWidth="1" min="16" max="16" width="65.75"/>
    <col customWidth="1" min="17" max="17" width="39.5"/>
  </cols>
  <sheetData>
    <row r="1" ht="15.75" customHeight="1">
      <c r="A1" s="1" t="s">
        <v>0</v>
      </c>
      <c r="B1" s="1" t="s">
        <v>1</v>
      </c>
      <c r="C1" s="1" t="s">
        <v>2</v>
      </c>
      <c r="D1" s="1" t="s">
        <v>3</v>
      </c>
      <c r="E1" s="1" t="s">
        <v>4</v>
      </c>
      <c r="F1" s="1" t="s">
        <v>5</v>
      </c>
      <c r="G1" s="1" t="s">
        <v>6</v>
      </c>
      <c r="H1" s="2" t="s">
        <v>7</v>
      </c>
      <c r="I1" s="2" t="s">
        <v>8</v>
      </c>
      <c r="J1" s="1" t="s">
        <v>9</v>
      </c>
      <c r="K1" s="1" t="s">
        <v>10</v>
      </c>
      <c r="L1" s="1" t="s">
        <v>11</v>
      </c>
      <c r="M1" s="1" t="s">
        <v>12</v>
      </c>
      <c r="N1" s="1" t="s">
        <v>13</v>
      </c>
      <c r="O1" s="1" t="s">
        <v>14</v>
      </c>
      <c r="P1" s="1" t="s">
        <v>15</v>
      </c>
      <c r="Q1" s="1" t="s">
        <v>16</v>
      </c>
      <c r="R1" s="1" t="s">
        <v>17</v>
      </c>
      <c r="S1" s="1" t="s">
        <v>18</v>
      </c>
      <c r="T1" s="1" t="s">
        <v>19</v>
      </c>
      <c r="U1" s="1" t="s">
        <v>20</v>
      </c>
      <c r="V1" s="1" t="s">
        <v>21</v>
      </c>
    </row>
    <row r="2" ht="15.75" customHeight="1">
      <c r="A2" s="1" t="s">
        <v>22</v>
      </c>
      <c r="B2" s="1" t="s">
        <v>23</v>
      </c>
      <c r="C2" s="1" t="s">
        <v>24</v>
      </c>
      <c r="D2" s="1" t="s">
        <v>23</v>
      </c>
      <c r="E2" s="1" t="s">
        <v>25</v>
      </c>
      <c r="F2" s="1" t="s">
        <v>26</v>
      </c>
      <c r="G2" s="2" t="s">
        <v>27</v>
      </c>
      <c r="H2" s="2" t="str">
        <f>IFERROR(__xludf.DUMMYFUNCTION("ARRAYFORMULA(IF(A2:A1043="""","""",IF(REGEXMATCH(LOWER(E2:E1043),""reyee""),""Reyee Network"",IF(REGEXMATCH(LOWER(E2:E1043),""ruijie""),""Ruijie Networks"",IF(REGEXMATCH(LOWER(E2:E1043),""draytek""),""DrayTek"",IF(REGEXMATCH(LOWER(G2:G1043),""rack|cabinet"&amp;"|wall rack|server rack|open rack|outdoor cabinet|cable management|พัดลม|ถาด|รางไฟ|shelf|power distribution""),""Rack"",F2:F1043))))))"),"Ruijie Networks")</f>
        <v>Ruijie Networks</v>
      </c>
      <c r="I2" s="2" t="str">
        <f t="array" ref="I2:I1043">IF(A2:A1043="","",G2:G1043)</f>
        <v>Access Point</v>
      </c>
      <c r="J2" s="3">
        <v>0.0</v>
      </c>
      <c r="K2" s="4" t="s">
        <v>28</v>
      </c>
      <c r="L2" s="4" t="s">
        <v>29</v>
      </c>
      <c r="M2" s="4" t="s">
        <v>30</v>
      </c>
      <c r="N2" s="1" t="s">
        <v>31</v>
      </c>
      <c r="O2" s="5" t="s">
        <v>32</v>
      </c>
      <c r="P2" s="1" t="s">
        <v>33</v>
      </c>
      <c r="Q2" s="1" t="s">
        <v>34</v>
      </c>
      <c r="R2" s="1" t="s">
        <v>35</v>
      </c>
      <c r="S2" s="1">
        <v>5.0</v>
      </c>
      <c r="T2" s="1">
        <v>18.0</v>
      </c>
      <c r="U2" s="1"/>
      <c r="V2" s="6" t="b">
        <v>1</v>
      </c>
    </row>
    <row r="3" ht="15.75" customHeight="1">
      <c r="A3" s="1" t="s">
        <v>36</v>
      </c>
      <c r="B3" s="1" t="s">
        <v>37</v>
      </c>
      <c r="C3" s="1" t="s">
        <v>38</v>
      </c>
      <c r="D3" s="1" t="s">
        <v>37</v>
      </c>
      <c r="E3" s="1" t="s">
        <v>25</v>
      </c>
      <c r="F3" s="1" t="s">
        <v>26</v>
      </c>
      <c r="G3" s="2" t="s">
        <v>27</v>
      </c>
      <c r="H3" s="2" t="str">
        <f>IFERROR(__xludf.DUMMYFUNCTION("""COMPUTED_VALUE"""),"Ruijie Networks")</f>
        <v>Ruijie Networks</v>
      </c>
      <c r="I3" s="2" t="s">
        <v>27</v>
      </c>
      <c r="J3" s="3">
        <v>0.0</v>
      </c>
      <c r="K3" s="4" t="s">
        <v>39</v>
      </c>
      <c r="L3" s="4" t="s">
        <v>40</v>
      </c>
      <c r="M3" s="4" t="s">
        <v>41</v>
      </c>
      <c r="N3" s="1" t="s">
        <v>42</v>
      </c>
      <c r="O3" s="1" t="s">
        <v>43</v>
      </c>
      <c r="P3" s="1" t="s">
        <v>44</v>
      </c>
      <c r="Q3" s="1" t="s">
        <v>45</v>
      </c>
      <c r="R3" s="1"/>
      <c r="S3" s="7">
        <v>0.0</v>
      </c>
      <c r="T3" s="7">
        <v>0.0</v>
      </c>
      <c r="U3" s="1"/>
      <c r="V3" s="6" t="b">
        <v>1</v>
      </c>
    </row>
    <row r="4" ht="15.75" customHeight="1">
      <c r="A4" s="1" t="s">
        <v>46</v>
      </c>
      <c r="B4" s="1" t="s">
        <v>47</v>
      </c>
      <c r="C4" s="1" t="s">
        <v>48</v>
      </c>
      <c r="D4" s="1" t="s">
        <v>47</v>
      </c>
      <c r="E4" s="1" t="s">
        <v>25</v>
      </c>
      <c r="F4" s="1" t="s">
        <v>26</v>
      </c>
      <c r="G4" s="2" t="s">
        <v>27</v>
      </c>
      <c r="H4" s="2" t="str">
        <f>IFERROR(__xludf.DUMMYFUNCTION("""COMPUTED_VALUE"""),"Ruijie Networks")</f>
        <v>Ruijie Networks</v>
      </c>
      <c r="I4" s="2" t="s">
        <v>27</v>
      </c>
      <c r="J4" s="3">
        <v>0.0</v>
      </c>
      <c r="K4" s="8" t="s">
        <v>49</v>
      </c>
      <c r="L4" s="8" t="s">
        <v>50</v>
      </c>
      <c r="M4" s="8" t="s">
        <v>51</v>
      </c>
      <c r="N4" s="1" t="s">
        <v>52</v>
      </c>
      <c r="O4" s="1" t="s">
        <v>53</v>
      </c>
      <c r="P4" s="1" t="s">
        <v>54</v>
      </c>
      <c r="Q4" s="1" t="s">
        <v>55</v>
      </c>
      <c r="R4" s="1"/>
      <c r="S4" s="7">
        <v>0.0</v>
      </c>
      <c r="T4" s="7">
        <v>0.0</v>
      </c>
      <c r="U4" s="1"/>
      <c r="V4" s="6" t="b">
        <v>1</v>
      </c>
    </row>
    <row r="5" ht="15.75" customHeight="1">
      <c r="A5" s="1" t="s">
        <v>56</v>
      </c>
      <c r="B5" s="1" t="s">
        <v>57</v>
      </c>
      <c r="C5" s="1" t="s">
        <v>58</v>
      </c>
      <c r="D5" s="1" t="s">
        <v>57</v>
      </c>
      <c r="E5" s="1" t="s">
        <v>25</v>
      </c>
      <c r="F5" s="1" t="s">
        <v>26</v>
      </c>
      <c r="G5" s="2" t="s">
        <v>27</v>
      </c>
      <c r="H5" s="2" t="str">
        <f>IFERROR(__xludf.DUMMYFUNCTION("""COMPUTED_VALUE"""),"Ruijie Networks")</f>
        <v>Ruijie Networks</v>
      </c>
      <c r="I5" s="2" t="s">
        <v>27</v>
      </c>
      <c r="J5" s="3">
        <v>0.0</v>
      </c>
      <c r="K5" s="8" t="s">
        <v>49</v>
      </c>
      <c r="L5" s="9" t="s">
        <v>59</v>
      </c>
      <c r="M5" s="4" t="s">
        <v>60</v>
      </c>
      <c r="N5" s="1" t="s">
        <v>61</v>
      </c>
      <c r="O5" s="1" t="s">
        <v>62</v>
      </c>
      <c r="P5" s="1" t="s">
        <v>63</v>
      </c>
      <c r="Q5" s="1" t="s">
        <v>64</v>
      </c>
      <c r="R5" s="1"/>
      <c r="S5" s="7">
        <v>0.0</v>
      </c>
      <c r="T5" s="7">
        <v>0.0</v>
      </c>
      <c r="U5" s="1"/>
      <c r="V5" s="6" t="b">
        <v>1</v>
      </c>
    </row>
    <row r="6" ht="15.75" customHeight="1">
      <c r="A6" s="1" t="s">
        <v>65</v>
      </c>
      <c r="B6" s="1" t="s">
        <v>66</v>
      </c>
      <c r="C6" s="1" t="s">
        <v>67</v>
      </c>
      <c r="D6" s="1" t="s">
        <v>66</v>
      </c>
      <c r="E6" s="1" t="s">
        <v>25</v>
      </c>
      <c r="F6" s="1" t="s">
        <v>26</v>
      </c>
      <c r="G6" s="2" t="s">
        <v>27</v>
      </c>
      <c r="H6" s="2" t="str">
        <f>IFERROR(__xludf.DUMMYFUNCTION("""COMPUTED_VALUE"""),"Ruijie Networks")</f>
        <v>Ruijie Networks</v>
      </c>
      <c r="I6" s="2" t="s">
        <v>27</v>
      </c>
      <c r="J6" s="3">
        <v>0.0</v>
      </c>
      <c r="K6" s="4" t="s">
        <v>68</v>
      </c>
      <c r="L6" s="4" t="s">
        <v>69</v>
      </c>
      <c r="M6" s="4" t="s">
        <v>70</v>
      </c>
      <c r="N6" s="1" t="s">
        <v>71</v>
      </c>
      <c r="O6" s="1" t="s">
        <v>72</v>
      </c>
      <c r="P6" s="1" t="s">
        <v>73</v>
      </c>
      <c r="Q6" s="1" t="s">
        <v>74</v>
      </c>
      <c r="R6" s="1"/>
      <c r="S6" s="7">
        <v>0.0</v>
      </c>
      <c r="T6" s="7">
        <v>0.0</v>
      </c>
      <c r="U6" s="1"/>
      <c r="V6" s="6" t="b">
        <v>1</v>
      </c>
    </row>
    <row r="7" ht="15.75" customHeight="1">
      <c r="A7" s="1" t="s">
        <v>75</v>
      </c>
      <c r="B7" s="1" t="s">
        <v>76</v>
      </c>
      <c r="C7" s="1" t="s">
        <v>77</v>
      </c>
      <c r="D7" s="1" t="s">
        <v>76</v>
      </c>
      <c r="E7" s="1" t="s">
        <v>25</v>
      </c>
      <c r="F7" s="1" t="s">
        <v>26</v>
      </c>
      <c r="G7" s="2" t="s">
        <v>27</v>
      </c>
      <c r="H7" s="2" t="str">
        <f>IFERROR(__xludf.DUMMYFUNCTION("""COMPUTED_VALUE"""),"Ruijie Networks")</f>
        <v>Ruijie Networks</v>
      </c>
      <c r="I7" s="2" t="s">
        <v>27</v>
      </c>
      <c r="J7" s="3">
        <v>0.0</v>
      </c>
      <c r="K7" s="4" t="s">
        <v>78</v>
      </c>
      <c r="L7" s="4" t="s">
        <v>79</v>
      </c>
      <c r="M7" s="4" t="s">
        <v>80</v>
      </c>
      <c r="N7" s="1" t="s">
        <v>81</v>
      </c>
      <c r="O7" s="1" t="s">
        <v>82</v>
      </c>
      <c r="P7" s="1" t="s">
        <v>83</v>
      </c>
      <c r="Q7" s="1" t="s">
        <v>84</v>
      </c>
      <c r="R7" s="1"/>
      <c r="S7" s="7">
        <v>0.0</v>
      </c>
      <c r="T7" s="7">
        <v>0.0</v>
      </c>
      <c r="U7" s="1"/>
      <c r="V7" s="6" t="b">
        <v>1</v>
      </c>
    </row>
    <row r="8" ht="15.75" customHeight="1">
      <c r="A8" s="1" t="s">
        <v>85</v>
      </c>
      <c r="B8" s="1" t="s">
        <v>86</v>
      </c>
      <c r="C8" s="1" t="s">
        <v>87</v>
      </c>
      <c r="D8" s="1" t="s">
        <v>86</v>
      </c>
      <c r="E8" s="1" t="s">
        <v>25</v>
      </c>
      <c r="F8" s="1" t="s">
        <v>26</v>
      </c>
      <c r="G8" s="2" t="s">
        <v>27</v>
      </c>
      <c r="H8" s="2" t="str">
        <f>IFERROR(__xludf.DUMMYFUNCTION("""COMPUTED_VALUE"""),"Ruijie Networks")</f>
        <v>Ruijie Networks</v>
      </c>
      <c r="I8" s="2" t="s">
        <v>27</v>
      </c>
      <c r="J8" s="3">
        <v>0.0</v>
      </c>
      <c r="K8" s="4" t="s">
        <v>88</v>
      </c>
      <c r="L8" s="4" t="s">
        <v>89</v>
      </c>
      <c r="M8" s="4" t="s">
        <v>90</v>
      </c>
      <c r="N8" s="1" t="s">
        <v>91</v>
      </c>
      <c r="O8" s="1" t="s">
        <v>92</v>
      </c>
      <c r="P8" s="1" t="s">
        <v>93</v>
      </c>
      <c r="Q8" s="1" t="s">
        <v>94</v>
      </c>
      <c r="R8" s="1"/>
      <c r="S8" s="7">
        <v>0.0</v>
      </c>
      <c r="T8" s="7">
        <v>0.0</v>
      </c>
      <c r="U8" s="1"/>
      <c r="V8" s="6" t="b">
        <v>1</v>
      </c>
    </row>
    <row r="9" ht="15.75" customHeight="1">
      <c r="A9" s="1" t="s">
        <v>95</v>
      </c>
      <c r="B9" s="1" t="s">
        <v>96</v>
      </c>
      <c r="C9" s="1" t="s">
        <v>97</v>
      </c>
      <c r="D9" s="1" t="s">
        <v>96</v>
      </c>
      <c r="E9" s="1" t="s">
        <v>25</v>
      </c>
      <c r="F9" s="1" t="s">
        <v>26</v>
      </c>
      <c r="G9" s="2" t="s">
        <v>27</v>
      </c>
      <c r="H9" s="2" t="str">
        <f>IFERROR(__xludf.DUMMYFUNCTION("""COMPUTED_VALUE"""),"Ruijie Networks")</f>
        <v>Ruijie Networks</v>
      </c>
      <c r="I9" s="2" t="s">
        <v>27</v>
      </c>
      <c r="J9" s="3">
        <v>0.0</v>
      </c>
      <c r="K9" s="10" t="s">
        <v>98</v>
      </c>
      <c r="L9" s="11" t="s">
        <v>59</v>
      </c>
      <c r="M9" s="11" t="s">
        <v>60</v>
      </c>
      <c r="N9" s="1" t="s">
        <v>99</v>
      </c>
      <c r="O9" s="1" t="s">
        <v>100</v>
      </c>
      <c r="P9" s="1" t="s">
        <v>101</v>
      </c>
      <c r="Q9" s="1" t="s">
        <v>102</v>
      </c>
      <c r="R9" s="1"/>
      <c r="S9" s="7">
        <v>0.0</v>
      </c>
      <c r="T9" s="7">
        <v>0.0</v>
      </c>
      <c r="U9" s="1"/>
      <c r="V9" s="6" t="b">
        <v>1</v>
      </c>
    </row>
    <row r="10" ht="15.75" customHeight="1">
      <c r="A10" s="1" t="s">
        <v>103</v>
      </c>
      <c r="B10" s="1" t="s">
        <v>104</v>
      </c>
      <c r="C10" s="1" t="s">
        <v>105</v>
      </c>
      <c r="D10" s="1" t="s">
        <v>104</v>
      </c>
      <c r="E10" s="1" t="s">
        <v>25</v>
      </c>
      <c r="F10" s="1" t="s">
        <v>26</v>
      </c>
      <c r="G10" s="2" t="s">
        <v>27</v>
      </c>
      <c r="H10" s="2" t="str">
        <f>IFERROR(__xludf.DUMMYFUNCTION("""COMPUTED_VALUE"""),"Ruijie Networks")</f>
        <v>Ruijie Networks</v>
      </c>
      <c r="I10" s="2" t="s">
        <v>27</v>
      </c>
      <c r="J10" s="3">
        <v>3840.0</v>
      </c>
      <c r="K10" s="4" t="s">
        <v>106</v>
      </c>
      <c r="L10" s="4" t="s">
        <v>107</v>
      </c>
      <c r="M10" s="4" t="s">
        <v>108</v>
      </c>
      <c r="N10" s="1" t="s">
        <v>109</v>
      </c>
      <c r="O10" s="1" t="s">
        <v>110</v>
      </c>
      <c r="P10" s="1" t="s">
        <v>111</v>
      </c>
      <c r="Q10" s="1" t="s">
        <v>112</v>
      </c>
      <c r="R10" s="1"/>
      <c r="S10" s="7">
        <v>0.0</v>
      </c>
      <c r="T10" s="7">
        <v>0.0</v>
      </c>
      <c r="U10" s="1"/>
      <c r="V10" s="6" t="b">
        <v>1</v>
      </c>
    </row>
    <row r="11" ht="15.75" customHeight="1">
      <c r="A11" s="1" t="s">
        <v>113</v>
      </c>
      <c r="B11" s="1" t="s">
        <v>114</v>
      </c>
      <c r="C11" s="1" t="s">
        <v>115</v>
      </c>
      <c r="D11" s="1" t="s">
        <v>114</v>
      </c>
      <c r="E11" s="1" t="s">
        <v>25</v>
      </c>
      <c r="F11" s="1" t="s">
        <v>26</v>
      </c>
      <c r="G11" s="2" t="s">
        <v>27</v>
      </c>
      <c r="H11" s="2" t="str">
        <f>IFERROR(__xludf.DUMMYFUNCTION("""COMPUTED_VALUE"""),"Ruijie Networks")</f>
        <v>Ruijie Networks</v>
      </c>
      <c r="I11" s="2" t="s">
        <v>27</v>
      </c>
      <c r="J11" s="3">
        <v>0.0</v>
      </c>
      <c r="K11" s="4" t="s">
        <v>116</v>
      </c>
      <c r="L11" s="4" t="s">
        <v>117</v>
      </c>
      <c r="M11" s="4" t="s">
        <v>118</v>
      </c>
      <c r="N11" s="1" t="s">
        <v>119</v>
      </c>
      <c r="O11" s="1" t="s">
        <v>120</v>
      </c>
      <c r="P11" s="1" t="s">
        <v>121</v>
      </c>
      <c r="Q11" s="1" t="s">
        <v>122</v>
      </c>
      <c r="R11" s="1"/>
      <c r="S11" s="7">
        <v>0.0</v>
      </c>
      <c r="T11" s="7">
        <v>0.0</v>
      </c>
      <c r="U11" s="1"/>
      <c r="V11" s="6" t="b">
        <v>1</v>
      </c>
    </row>
    <row r="12" ht="12.0" customHeight="1">
      <c r="A12" s="1" t="s">
        <v>123</v>
      </c>
      <c r="B12" s="1" t="s">
        <v>124</v>
      </c>
      <c r="C12" s="1" t="s">
        <v>125</v>
      </c>
      <c r="D12" s="1" t="s">
        <v>124</v>
      </c>
      <c r="E12" s="1" t="s">
        <v>25</v>
      </c>
      <c r="F12" s="1" t="s">
        <v>26</v>
      </c>
      <c r="G12" s="2" t="s">
        <v>27</v>
      </c>
      <c r="H12" s="2" t="str">
        <f>IFERROR(__xludf.DUMMYFUNCTION("""COMPUTED_VALUE"""),"Ruijie Networks")</f>
        <v>Ruijie Networks</v>
      </c>
      <c r="I12" s="2" t="s">
        <v>27</v>
      </c>
      <c r="J12" s="3">
        <v>0.0</v>
      </c>
      <c r="K12" s="4" t="s">
        <v>126</v>
      </c>
      <c r="L12" s="4" t="s">
        <v>127</v>
      </c>
      <c r="M12" s="4" t="s">
        <v>128</v>
      </c>
      <c r="N12" s="1" t="s">
        <v>129</v>
      </c>
      <c r="O12" s="1" t="s">
        <v>130</v>
      </c>
      <c r="P12" s="1" t="s">
        <v>131</v>
      </c>
      <c r="Q12" s="1" t="s">
        <v>132</v>
      </c>
      <c r="R12" s="1"/>
      <c r="S12" s="7">
        <v>0.0</v>
      </c>
      <c r="T12" s="7">
        <v>0.0</v>
      </c>
      <c r="U12" s="1"/>
      <c r="V12" s="6" t="b">
        <v>1</v>
      </c>
    </row>
    <row r="13" ht="15.75" customHeight="1">
      <c r="A13" s="1" t="s">
        <v>133</v>
      </c>
      <c r="B13" s="1" t="s">
        <v>134</v>
      </c>
      <c r="C13" s="1" t="s">
        <v>135</v>
      </c>
      <c r="D13" s="1" t="s">
        <v>134</v>
      </c>
      <c r="E13" s="1" t="s">
        <v>25</v>
      </c>
      <c r="F13" s="1" t="s">
        <v>26</v>
      </c>
      <c r="G13" s="2" t="s">
        <v>27</v>
      </c>
      <c r="H13" s="2" t="str">
        <f>IFERROR(__xludf.DUMMYFUNCTION("""COMPUTED_VALUE"""),"Ruijie Networks")</f>
        <v>Ruijie Networks</v>
      </c>
      <c r="I13" s="2" t="s">
        <v>27</v>
      </c>
      <c r="J13" s="3">
        <v>0.0</v>
      </c>
      <c r="K13" s="4" t="s">
        <v>136</v>
      </c>
      <c r="L13" s="1"/>
      <c r="M13" s="1"/>
      <c r="N13" s="1" t="s">
        <v>137</v>
      </c>
      <c r="O13" s="1" t="s">
        <v>138</v>
      </c>
      <c r="P13" s="1" t="s">
        <v>139</v>
      </c>
      <c r="Q13" s="1" t="s">
        <v>140</v>
      </c>
      <c r="R13" s="1"/>
      <c r="S13" s="7">
        <v>0.0</v>
      </c>
      <c r="T13" s="7">
        <v>0.0</v>
      </c>
      <c r="U13" s="1"/>
      <c r="V13" s="6" t="b">
        <v>1</v>
      </c>
    </row>
    <row r="14" ht="15.75" customHeight="1">
      <c r="A14" s="1" t="s">
        <v>141</v>
      </c>
      <c r="B14" s="1" t="s">
        <v>142</v>
      </c>
      <c r="C14" s="1" t="s">
        <v>143</v>
      </c>
      <c r="D14" s="1" t="s">
        <v>142</v>
      </c>
      <c r="E14" s="1" t="s">
        <v>25</v>
      </c>
      <c r="F14" s="1" t="s">
        <v>26</v>
      </c>
      <c r="G14" s="2" t="s">
        <v>27</v>
      </c>
      <c r="H14" s="2" t="str">
        <f>IFERROR(__xludf.DUMMYFUNCTION("""COMPUTED_VALUE"""),"Ruijie Networks")</f>
        <v>Ruijie Networks</v>
      </c>
      <c r="I14" s="2" t="s">
        <v>27</v>
      </c>
      <c r="J14" s="3">
        <v>0.0</v>
      </c>
      <c r="K14" s="4" t="s">
        <v>144</v>
      </c>
      <c r="L14" s="4" t="s">
        <v>145</v>
      </c>
      <c r="M14" s="4" t="s">
        <v>146</v>
      </c>
      <c r="N14" s="1" t="s">
        <v>147</v>
      </c>
      <c r="O14" s="1" t="s">
        <v>148</v>
      </c>
      <c r="P14" s="1" t="s">
        <v>149</v>
      </c>
      <c r="Q14" s="1" t="s">
        <v>150</v>
      </c>
      <c r="R14" s="1"/>
      <c r="S14" s="7">
        <v>0.0</v>
      </c>
      <c r="T14" s="7">
        <v>0.0</v>
      </c>
      <c r="U14" s="1"/>
      <c r="V14" s="6" t="b">
        <v>1</v>
      </c>
    </row>
    <row r="15" ht="15.75" customHeight="1">
      <c r="A15" s="1" t="s">
        <v>151</v>
      </c>
      <c r="B15" s="1" t="s">
        <v>152</v>
      </c>
      <c r="C15" s="1" t="s">
        <v>153</v>
      </c>
      <c r="D15" s="1" t="s">
        <v>152</v>
      </c>
      <c r="E15" s="1" t="s">
        <v>25</v>
      </c>
      <c r="F15" s="1" t="s">
        <v>26</v>
      </c>
      <c r="G15" s="2" t="s">
        <v>27</v>
      </c>
      <c r="H15" s="2" t="str">
        <f>IFERROR(__xludf.DUMMYFUNCTION("""COMPUTED_VALUE"""),"Ruijie Networks")</f>
        <v>Ruijie Networks</v>
      </c>
      <c r="I15" s="2" t="s">
        <v>27</v>
      </c>
      <c r="J15" s="3">
        <v>0.0</v>
      </c>
      <c r="K15" s="4" t="s">
        <v>154</v>
      </c>
      <c r="L15" s="4" t="s">
        <v>155</v>
      </c>
      <c r="M15" s="4" t="s">
        <v>156</v>
      </c>
      <c r="N15" s="1" t="s">
        <v>157</v>
      </c>
      <c r="O15" s="1" t="s">
        <v>158</v>
      </c>
      <c r="P15" s="1" t="s">
        <v>159</v>
      </c>
      <c r="Q15" s="1" t="s">
        <v>160</v>
      </c>
      <c r="R15" s="1"/>
      <c r="S15" s="7">
        <v>0.0</v>
      </c>
      <c r="T15" s="7">
        <v>0.0</v>
      </c>
      <c r="U15" s="1"/>
      <c r="V15" s="6" t="b">
        <v>1</v>
      </c>
    </row>
    <row r="16" ht="15.75" customHeight="1">
      <c r="A16" s="1" t="s">
        <v>161</v>
      </c>
      <c r="B16" s="1" t="s">
        <v>162</v>
      </c>
      <c r="C16" s="1" t="s">
        <v>163</v>
      </c>
      <c r="D16" s="1" t="s">
        <v>162</v>
      </c>
      <c r="E16" s="1" t="s">
        <v>25</v>
      </c>
      <c r="F16" s="1" t="s">
        <v>26</v>
      </c>
      <c r="G16" s="2" t="s">
        <v>27</v>
      </c>
      <c r="H16" s="2" t="str">
        <f>IFERROR(__xludf.DUMMYFUNCTION("""COMPUTED_VALUE"""),"Ruijie Networks")</f>
        <v>Ruijie Networks</v>
      </c>
      <c r="I16" s="2" t="s">
        <v>27</v>
      </c>
      <c r="J16" s="3">
        <v>0.0</v>
      </c>
      <c r="K16" s="4" t="s">
        <v>164</v>
      </c>
      <c r="L16" s="4" t="s">
        <v>165</v>
      </c>
      <c r="M16" s="1"/>
      <c r="N16" s="1" t="s">
        <v>166</v>
      </c>
      <c r="O16" s="1" t="s">
        <v>167</v>
      </c>
      <c r="P16" s="1" t="s">
        <v>168</v>
      </c>
      <c r="Q16" s="1" t="s">
        <v>169</v>
      </c>
      <c r="R16" s="1"/>
      <c r="S16" s="7">
        <v>0.0</v>
      </c>
      <c r="T16" s="7">
        <v>0.0</v>
      </c>
      <c r="U16" s="1"/>
      <c r="V16" s="6" t="b">
        <v>1</v>
      </c>
    </row>
    <row r="17" ht="15.75" customHeight="1">
      <c r="A17" s="1"/>
      <c r="B17" s="1"/>
      <c r="C17" s="1"/>
      <c r="D17" s="1"/>
      <c r="E17" s="1"/>
      <c r="F17" s="1"/>
      <c r="G17" s="1"/>
      <c r="H17" s="1" t="str">
        <f>IFERROR(__xludf.DUMMYFUNCTION("""COMPUTED_VALUE"""),"")</f>
        <v/>
      </c>
      <c r="I17" s="1" t="s">
        <v>170</v>
      </c>
      <c r="J17" s="3"/>
      <c r="K17" s="12"/>
      <c r="N17" s="1"/>
      <c r="O17" s="1"/>
      <c r="P17" s="1"/>
      <c r="Q17" s="1"/>
      <c r="S17" s="7"/>
      <c r="T17" s="7"/>
      <c r="U17" s="1"/>
      <c r="V17" s="6"/>
    </row>
    <row r="18" ht="15.75" customHeight="1">
      <c r="A18" s="1" t="s">
        <v>171</v>
      </c>
      <c r="B18" s="1" t="s">
        <v>172</v>
      </c>
      <c r="C18" s="1" t="s">
        <v>173</v>
      </c>
      <c r="D18" s="1" t="s">
        <v>172</v>
      </c>
      <c r="E18" s="1" t="s">
        <v>25</v>
      </c>
      <c r="F18" s="1" t="s">
        <v>26</v>
      </c>
      <c r="G18" s="1" t="s">
        <v>174</v>
      </c>
      <c r="H18" s="1" t="str">
        <f>IFERROR(__xludf.DUMMYFUNCTION("""COMPUTED_VALUE"""),"Ruijie Networks")</f>
        <v>Ruijie Networks</v>
      </c>
      <c r="I18" s="1" t="s">
        <v>174</v>
      </c>
      <c r="J18" s="3">
        <v>0.0</v>
      </c>
      <c r="K18" s="10" t="s">
        <v>175</v>
      </c>
      <c r="N18" s="1" t="s">
        <v>176</v>
      </c>
      <c r="O18" s="1" t="s">
        <v>177</v>
      </c>
      <c r="P18" s="1" t="s">
        <v>178</v>
      </c>
      <c r="Q18" s="1" t="s">
        <v>179</v>
      </c>
      <c r="S18" s="7">
        <v>0.0</v>
      </c>
      <c r="T18" s="7">
        <v>0.0</v>
      </c>
      <c r="U18" s="1"/>
      <c r="V18" s="6" t="b">
        <v>1</v>
      </c>
    </row>
    <row r="19" ht="15.75" customHeight="1">
      <c r="A19" s="1" t="s">
        <v>180</v>
      </c>
      <c r="B19" s="1" t="s">
        <v>181</v>
      </c>
      <c r="C19" s="1" t="s">
        <v>182</v>
      </c>
      <c r="D19" s="1" t="s">
        <v>181</v>
      </c>
      <c r="E19" s="1" t="s">
        <v>25</v>
      </c>
      <c r="F19" s="1" t="s">
        <v>26</v>
      </c>
      <c r="G19" s="1" t="s">
        <v>174</v>
      </c>
      <c r="H19" s="1" t="str">
        <f>IFERROR(__xludf.DUMMYFUNCTION("""COMPUTED_VALUE"""),"Ruijie Networks")</f>
        <v>Ruijie Networks</v>
      </c>
      <c r="I19" s="1" t="s">
        <v>174</v>
      </c>
      <c r="J19" s="3">
        <v>0.0</v>
      </c>
      <c r="K19" s="10" t="s">
        <v>183</v>
      </c>
      <c r="N19" s="1" t="s">
        <v>184</v>
      </c>
      <c r="O19" s="1" t="s">
        <v>185</v>
      </c>
      <c r="P19" s="1" t="s">
        <v>186</v>
      </c>
      <c r="Q19" s="1" t="s">
        <v>187</v>
      </c>
      <c r="S19" s="7">
        <v>0.0</v>
      </c>
      <c r="T19" s="7">
        <v>0.0</v>
      </c>
      <c r="U19" s="1"/>
      <c r="V19" s="6" t="b">
        <v>1</v>
      </c>
    </row>
    <row r="20" ht="15.75" customHeight="1">
      <c r="A20" s="1" t="s">
        <v>188</v>
      </c>
      <c r="B20" s="1" t="s">
        <v>189</v>
      </c>
      <c r="C20" s="1" t="s">
        <v>190</v>
      </c>
      <c r="D20" s="1" t="s">
        <v>189</v>
      </c>
      <c r="E20" s="1" t="s">
        <v>25</v>
      </c>
      <c r="F20" s="1" t="s">
        <v>26</v>
      </c>
      <c r="G20" s="1" t="s">
        <v>174</v>
      </c>
      <c r="H20" s="1" t="str">
        <f>IFERROR(__xludf.DUMMYFUNCTION("""COMPUTED_VALUE"""),"Ruijie Networks")</f>
        <v>Ruijie Networks</v>
      </c>
      <c r="I20" s="1" t="s">
        <v>174</v>
      </c>
      <c r="J20" s="3">
        <v>0.0</v>
      </c>
      <c r="K20" s="10" t="s">
        <v>191</v>
      </c>
      <c r="N20" s="1" t="s">
        <v>192</v>
      </c>
      <c r="O20" s="1" t="s">
        <v>193</v>
      </c>
      <c r="P20" s="1" t="s">
        <v>194</v>
      </c>
      <c r="Q20" s="1" t="s">
        <v>195</v>
      </c>
      <c r="S20" s="7">
        <v>0.0</v>
      </c>
      <c r="T20" s="7">
        <v>0.0</v>
      </c>
      <c r="U20" s="1"/>
      <c r="V20" s="6" t="b">
        <v>1</v>
      </c>
    </row>
    <row r="21" ht="15.75" customHeight="1">
      <c r="A21" s="1" t="s">
        <v>196</v>
      </c>
      <c r="B21" s="1" t="s">
        <v>197</v>
      </c>
      <c r="C21" s="1" t="s">
        <v>198</v>
      </c>
      <c r="D21" s="1" t="s">
        <v>197</v>
      </c>
      <c r="E21" s="1" t="s">
        <v>25</v>
      </c>
      <c r="F21" s="1" t="s">
        <v>26</v>
      </c>
      <c r="G21" s="1" t="s">
        <v>174</v>
      </c>
      <c r="H21" s="1" t="str">
        <f>IFERROR(__xludf.DUMMYFUNCTION("""COMPUTED_VALUE"""),"Ruijie Networks")</f>
        <v>Ruijie Networks</v>
      </c>
      <c r="I21" s="1" t="s">
        <v>174</v>
      </c>
      <c r="J21" s="3">
        <v>0.0</v>
      </c>
      <c r="K21" s="10" t="s">
        <v>199</v>
      </c>
      <c r="N21" s="1" t="s">
        <v>200</v>
      </c>
      <c r="O21" s="1" t="s">
        <v>201</v>
      </c>
      <c r="P21" s="1" t="s">
        <v>202</v>
      </c>
      <c r="Q21" s="1" t="s">
        <v>203</v>
      </c>
      <c r="S21" s="7">
        <v>0.0</v>
      </c>
      <c r="T21" s="7">
        <v>0.0</v>
      </c>
      <c r="U21" s="1"/>
      <c r="V21" s="6" t="b">
        <v>1</v>
      </c>
    </row>
    <row r="22" ht="15.75" customHeight="1">
      <c r="A22" s="1"/>
      <c r="B22" s="1"/>
      <c r="C22" s="1"/>
      <c r="D22" s="1"/>
      <c r="E22" s="1"/>
      <c r="F22" s="1"/>
      <c r="G22" s="1"/>
      <c r="H22" s="1" t="str">
        <f>IFERROR(__xludf.DUMMYFUNCTION("""COMPUTED_VALUE"""),"")</f>
        <v/>
      </c>
      <c r="I22" s="1" t="s">
        <v>170</v>
      </c>
      <c r="J22" s="3"/>
      <c r="K22" s="12"/>
      <c r="N22" s="1"/>
      <c r="O22" s="1"/>
      <c r="P22" s="1"/>
      <c r="Q22" s="1"/>
      <c r="R22" s="1"/>
      <c r="S22" s="7"/>
      <c r="T22" s="7"/>
      <c r="U22" s="1"/>
      <c r="V22" s="6"/>
    </row>
    <row r="23" ht="15.75" customHeight="1">
      <c r="A23" s="1" t="s">
        <v>204</v>
      </c>
      <c r="B23" s="1" t="s">
        <v>205</v>
      </c>
      <c r="C23" s="1" t="s">
        <v>206</v>
      </c>
      <c r="D23" s="1" t="s">
        <v>205</v>
      </c>
      <c r="E23" s="1" t="s">
        <v>25</v>
      </c>
      <c r="F23" s="1" t="s">
        <v>26</v>
      </c>
      <c r="G23" s="1" t="s">
        <v>207</v>
      </c>
      <c r="H23" s="1" t="str">
        <f>IFERROR(__xludf.DUMMYFUNCTION("""COMPUTED_VALUE"""),"Ruijie Networks")</f>
        <v>Ruijie Networks</v>
      </c>
      <c r="I23" s="1" t="s">
        <v>207</v>
      </c>
      <c r="J23" s="3">
        <v>0.0</v>
      </c>
      <c r="K23" s="10" t="s">
        <v>208</v>
      </c>
      <c r="N23" s="1" t="s">
        <v>209</v>
      </c>
      <c r="O23" s="1" t="s">
        <v>210</v>
      </c>
      <c r="P23" s="1" t="s">
        <v>211</v>
      </c>
      <c r="Q23" s="1" t="s">
        <v>212</v>
      </c>
      <c r="R23" s="1"/>
      <c r="S23" s="7">
        <v>0.0</v>
      </c>
      <c r="T23" s="7">
        <v>0.0</v>
      </c>
      <c r="U23" s="1"/>
      <c r="V23" s="6" t="b">
        <v>1</v>
      </c>
    </row>
    <row r="24" ht="15.75" customHeight="1">
      <c r="A24" s="1" t="s">
        <v>213</v>
      </c>
      <c r="B24" s="1" t="s">
        <v>214</v>
      </c>
      <c r="C24" s="1" t="s">
        <v>215</v>
      </c>
      <c r="D24" s="1" t="s">
        <v>214</v>
      </c>
      <c r="E24" s="1" t="s">
        <v>25</v>
      </c>
      <c r="F24" s="1" t="s">
        <v>26</v>
      </c>
      <c r="G24" s="1" t="s">
        <v>207</v>
      </c>
      <c r="H24" s="1" t="str">
        <f>IFERROR(__xludf.DUMMYFUNCTION("""COMPUTED_VALUE"""),"Ruijie Networks")</f>
        <v>Ruijie Networks</v>
      </c>
      <c r="I24" s="1" t="s">
        <v>207</v>
      </c>
      <c r="J24" s="3">
        <v>0.0</v>
      </c>
      <c r="K24" s="10" t="s">
        <v>216</v>
      </c>
      <c r="N24" s="1" t="s">
        <v>217</v>
      </c>
      <c r="O24" s="1" t="s">
        <v>218</v>
      </c>
      <c r="P24" s="1" t="s">
        <v>219</v>
      </c>
      <c r="Q24" s="1" t="s">
        <v>212</v>
      </c>
      <c r="R24" s="1"/>
      <c r="S24" s="7">
        <v>0.0</v>
      </c>
      <c r="T24" s="7">
        <v>0.0</v>
      </c>
      <c r="U24" s="1"/>
      <c r="V24" s="6" t="b">
        <v>1</v>
      </c>
    </row>
    <row r="25" ht="15.75" customHeight="1">
      <c r="A25" s="1" t="s">
        <v>220</v>
      </c>
      <c r="B25" s="1" t="s">
        <v>221</v>
      </c>
      <c r="C25" s="1" t="s">
        <v>222</v>
      </c>
      <c r="D25" s="1" t="s">
        <v>221</v>
      </c>
      <c r="E25" s="1" t="s">
        <v>25</v>
      </c>
      <c r="F25" s="1" t="s">
        <v>26</v>
      </c>
      <c r="G25" s="1" t="s">
        <v>207</v>
      </c>
      <c r="H25" s="1" t="str">
        <f>IFERROR(__xludf.DUMMYFUNCTION("""COMPUTED_VALUE"""),"Ruijie Networks")</f>
        <v>Ruijie Networks</v>
      </c>
      <c r="I25" s="1" t="s">
        <v>207</v>
      </c>
      <c r="J25" s="3">
        <v>0.0</v>
      </c>
      <c r="K25" s="10" t="s">
        <v>223</v>
      </c>
      <c r="N25" s="1" t="s">
        <v>224</v>
      </c>
      <c r="O25" s="1" t="s">
        <v>225</v>
      </c>
      <c r="P25" s="1" t="s">
        <v>226</v>
      </c>
      <c r="Q25" s="1" t="s">
        <v>227</v>
      </c>
      <c r="R25" s="1"/>
      <c r="S25" s="7">
        <v>0.0</v>
      </c>
      <c r="T25" s="7">
        <v>0.0</v>
      </c>
      <c r="U25" s="1"/>
      <c r="V25" s="6" t="b">
        <v>1</v>
      </c>
    </row>
    <row r="26" ht="15.75" customHeight="1">
      <c r="A26" s="1" t="s">
        <v>228</v>
      </c>
      <c r="B26" s="1" t="s">
        <v>229</v>
      </c>
      <c r="C26" s="1" t="s">
        <v>230</v>
      </c>
      <c r="D26" s="1" t="s">
        <v>229</v>
      </c>
      <c r="E26" s="1" t="s">
        <v>25</v>
      </c>
      <c r="F26" s="1" t="s">
        <v>26</v>
      </c>
      <c r="G26" s="1" t="s">
        <v>207</v>
      </c>
      <c r="H26" s="1" t="str">
        <f>IFERROR(__xludf.DUMMYFUNCTION("""COMPUTED_VALUE"""),"Ruijie Networks")</f>
        <v>Ruijie Networks</v>
      </c>
      <c r="I26" s="1" t="s">
        <v>207</v>
      </c>
      <c r="J26" s="3">
        <v>0.0</v>
      </c>
      <c r="K26" s="10" t="s">
        <v>231</v>
      </c>
      <c r="N26" s="1" t="s">
        <v>232</v>
      </c>
      <c r="O26" s="1" t="s">
        <v>233</v>
      </c>
      <c r="P26" s="1" t="s">
        <v>234</v>
      </c>
      <c r="Q26" s="1" t="s">
        <v>235</v>
      </c>
      <c r="R26" s="1"/>
      <c r="S26" s="7">
        <v>0.0</v>
      </c>
      <c r="T26" s="7">
        <v>0.0</v>
      </c>
      <c r="U26" s="1"/>
      <c r="V26" s="6" t="b">
        <v>1</v>
      </c>
    </row>
    <row r="27" ht="15.75" customHeight="1">
      <c r="A27" s="1" t="s">
        <v>236</v>
      </c>
      <c r="B27" s="1" t="s">
        <v>237</v>
      </c>
      <c r="C27" s="1" t="s">
        <v>238</v>
      </c>
      <c r="D27" s="1" t="s">
        <v>237</v>
      </c>
      <c r="E27" s="1" t="s">
        <v>25</v>
      </c>
      <c r="F27" s="1" t="s">
        <v>26</v>
      </c>
      <c r="G27" s="1" t="s">
        <v>207</v>
      </c>
      <c r="H27" s="1" t="str">
        <f>IFERROR(__xludf.DUMMYFUNCTION("""COMPUTED_VALUE"""),"Ruijie Networks")</f>
        <v>Ruijie Networks</v>
      </c>
      <c r="I27" s="1" t="s">
        <v>207</v>
      </c>
      <c r="J27" s="3">
        <v>0.0</v>
      </c>
      <c r="K27" s="10" t="s">
        <v>239</v>
      </c>
      <c r="N27" s="1" t="s">
        <v>240</v>
      </c>
      <c r="O27" s="1" t="s">
        <v>241</v>
      </c>
      <c r="P27" s="1" t="s">
        <v>242</v>
      </c>
      <c r="Q27" s="1" t="s">
        <v>243</v>
      </c>
      <c r="R27" s="1"/>
      <c r="S27" s="7">
        <v>0.0</v>
      </c>
      <c r="T27" s="7">
        <v>0.0</v>
      </c>
      <c r="U27" s="1"/>
      <c r="V27" s="6" t="b">
        <v>1</v>
      </c>
    </row>
    <row r="28" ht="15.75" customHeight="1">
      <c r="A28" s="1" t="s">
        <v>244</v>
      </c>
      <c r="B28" s="1" t="s">
        <v>245</v>
      </c>
      <c r="C28" s="1" t="s">
        <v>246</v>
      </c>
      <c r="D28" s="1" t="s">
        <v>245</v>
      </c>
      <c r="E28" s="1" t="s">
        <v>25</v>
      </c>
      <c r="F28" s="1" t="s">
        <v>26</v>
      </c>
      <c r="G28" s="1" t="s">
        <v>207</v>
      </c>
      <c r="H28" s="1" t="str">
        <f>IFERROR(__xludf.DUMMYFUNCTION("""COMPUTED_VALUE"""),"Ruijie Networks")</f>
        <v>Ruijie Networks</v>
      </c>
      <c r="I28" s="1" t="s">
        <v>207</v>
      </c>
      <c r="J28" s="3">
        <v>0.0</v>
      </c>
      <c r="K28" s="10" t="s">
        <v>247</v>
      </c>
      <c r="N28" s="1" t="s">
        <v>248</v>
      </c>
      <c r="O28" s="1" t="s">
        <v>249</v>
      </c>
      <c r="P28" s="1" t="s">
        <v>250</v>
      </c>
      <c r="Q28" s="1" t="s">
        <v>251</v>
      </c>
      <c r="R28" s="1"/>
      <c r="S28" s="7">
        <v>0.0</v>
      </c>
      <c r="T28" s="7">
        <v>0.0</v>
      </c>
      <c r="U28" s="1"/>
      <c r="V28" s="6" t="b">
        <v>1</v>
      </c>
    </row>
    <row r="29" ht="15.75" customHeight="1">
      <c r="A29" s="1" t="s">
        <v>252</v>
      </c>
      <c r="B29" s="1" t="s">
        <v>253</v>
      </c>
      <c r="C29" s="1" t="s">
        <v>254</v>
      </c>
      <c r="D29" s="1" t="s">
        <v>253</v>
      </c>
      <c r="E29" s="1" t="s">
        <v>25</v>
      </c>
      <c r="F29" s="1" t="s">
        <v>26</v>
      </c>
      <c r="G29" s="1" t="s">
        <v>207</v>
      </c>
      <c r="H29" s="1" t="str">
        <f>IFERROR(__xludf.DUMMYFUNCTION("""COMPUTED_VALUE"""),"Ruijie Networks")</f>
        <v>Ruijie Networks</v>
      </c>
      <c r="I29" s="1" t="s">
        <v>207</v>
      </c>
      <c r="J29" s="3">
        <v>0.0</v>
      </c>
      <c r="K29" s="10" t="s">
        <v>255</v>
      </c>
      <c r="N29" s="1" t="s">
        <v>256</v>
      </c>
      <c r="O29" s="1" t="s">
        <v>257</v>
      </c>
      <c r="P29" s="1" t="s">
        <v>258</v>
      </c>
      <c r="Q29" s="1" t="s">
        <v>259</v>
      </c>
      <c r="R29" s="1"/>
      <c r="S29" s="7">
        <v>0.0</v>
      </c>
      <c r="T29" s="7">
        <v>0.0</v>
      </c>
      <c r="U29" s="1"/>
      <c r="V29" s="6" t="b">
        <v>1</v>
      </c>
    </row>
    <row r="30" ht="15.75" customHeight="1">
      <c r="A30" s="1" t="s">
        <v>260</v>
      </c>
      <c r="B30" s="1" t="s">
        <v>261</v>
      </c>
      <c r="C30" s="1" t="s">
        <v>262</v>
      </c>
      <c r="D30" s="1" t="s">
        <v>261</v>
      </c>
      <c r="E30" s="1" t="s">
        <v>25</v>
      </c>
      <c r="F30" s="1" t="s">
        <v>26</v>
      </c>
      <c r="G30" s="1" t="s">
        <v>207</v>
      </c>
      <c r="H30" s="1" t="str">
        <f>IFERROR(__xludf.DUMMYFUNCTION("""COMPUTED_VALUE"""),"Ruijie Networks")</f>
        <v>Ruijie Networks</v>
      </c>
      <c r="I30" s="1" t="s">
        <v>207</v>
      </c>
      <c r="J30" s="3">
        <v>0.0</v>
      </c>
      <c r="K30" s="10" t="s">
        <v>263</v>
      </c>
      <c r="N30" s="1" t="s">
        <v>264</v>
      </c>
      <c r="O30" s="1" t="s">
        <v>265</v>
      </c>
      <c r="P30" s="1" t="s">
        <v>266</v>
      </c>
      <c r="Q30" s="1" t="s">
        <v>267</v>
      </c>
      <c r="R30" s="1"/>
      <c r="S30" s="7">
        <v>0.0</v>
      </c>
      <c r="T30" s="7">
        <v>0.0</v>
      </c>
      <c r="U30" s="1"/>
      <c r="V30" s="6" t="b">
        <v>1</v>
      </c>
    </row>
    <row r="31" ht="15.75" customHeight="1">
      <c r="A31" s="1" t="s">
        <v>268</v>
      </c>
      <c r="B31" s="1" t="s">
        <v>269</v>
      </c>
      <c r="C31" s="1" t="s">
        <v>270</v>
      </c>
      <c r="D31" s="1" t="s">
        <v>269</v>
      </c>
      <c r="E31" s="1" t="s">
        <v>25</v>
      </c>
      <c r="F31" s="1" t="s">
        <v>26</v>
      </c>
      <c r="G31" s="1" t="s">
        <v>207</v>
      </c>
      <c r="H31" s="1" t="str">
        <f>IFERROR(__xludf.DUMMYFUNCTION("""COMPUTED_VALUE"""),"Ruijie Networks")</f>
        <v>Ruijie Networks</v>
      </c>
      <c r="I31" s="1" t="s">
        <v>207</v>
      </c>
      <c r="J31" s="3">
        <v>0.0</v>
      </c>
      <c r="K31" s="10" t="s">
        <v>271</v>
      </c>
      <c r="N31" s="1" t="s">
        <v>272</v>
      </c>
      <c r="O31" s="1" t="s">
        <v>273</v>
      </c>
      <c r="P31" s="1" t="s">
        <v>274</v>
      </c>
      <c r="Q31" s="1" t="s">
        <v>275</v>
      </c>
      <c r="R31" s="1"/>
      <c r="S31" s="7">
        <v>0.0</v>
      </c>
      <c r="T31" s="7">
        <v>0.0</v>
      </c>
      <c r="U31" s="1"/>
      <c r="V31" s="6" t="b">
        <v>1</v>
      </c>
    </row>
    <row r="32" ht="15.75" customHeight="1">
      <c r="A32" s="1" t="s">
        <v>276</v>
      </c>
      <c r="B32" s="1" t="s">
        <v>277</v>
      </c>
      <c r="C32" s="1" t="s">
        <v>278</v>
      </c>
      <c r="D32" s="1" t="s">
        <v>277</v>
      </c>
      <c r="E32" s="1" t="s">
        <v>25</v>
      </c>
      <c r="F32" s="1" t="s">
        <v>26</v>
      </c>
      <c r="G32" s="1" t="s">
        <v>207</v>
      </c>
      <c r="H32" s="1" t="str">
        <f>IFERROR(__xludf.DUMMYFUNCTION("""COMPUTED_VALUE"""),"Ruijie Networks")</f>
        <v>Ruijie Networks</v>
      </c>
      <c r="I32" s="1" t="s">
        <v>207</v>
      </c>
      <c r="J32" s="3">
        <v>0.0</v>
      </c>
      <c r="K32" s="10" t="s">
        <v>279</v>
      </c>
      <c r="N32" s="1" t="s">
        <v>280</v>
      </c>
      <c r="O32" s="1" t="s">
        <v>281</v>
      </c>
      <c r="P32" s="1" t="s">
        <v>282</v>
      </c>
      <c r="Q32" s="1" t="s">
        <v>283</v>
      </c>
      <c r="R32" s="1"/>
      <c r="S32" s="7">
        <v>0.0</v>
      </c>
      <c r="T32" s="7">
        <v>0.0</v>
      </c>
      <c r="U32" s="1"/>
      <c r="V32" s="6" t="b">
        <v>1</v>
      </c>
    </row>
    <row r="33" ht="15.75" customHeight="1">
      <c r="A33" s="1" t="s">
        <v>284</v>
      </c>
      <c r="B33" s="1" t="s">
        <v>285</v>
      </c>
      <c r="C33" s="1" t="s">
        <v>286</v>
      </c>
      <c r="D33" s="1" t="s">
        <v>285</v>
      </c>
      <c r="E33" s="1" t="s">
        <v>25</v>
      </c>
      <c r="F33" s="1" t="s">
        <v>26</v>
      </c>
      <c r="G33" s="1" t="s">
        <v>207</v>
      </c>
      <c r="H33" s="1" t="str">
        <f>IFERROR(__xludf.DUMMYFUNCTION("""COMPUTED_VALUE"""),"Ruijie Networks")</f>
        <v>Ruijie Networks</v>
      </c>
      <c r="I33" s="1" t="s">
        <v>207</v>
      </c>
      <c r="J33" s="3">
        <v>0.0</v>
      </c>
      <c r="K33" s="10" t="s">
        <v>287</v>
      </c>
      <c r="N33" s="1" t="s">
        <v>288</v>
      </c>
      <c r="O33" s="1" t="s">
        <v>289</v>
      </c>
      <c r="P33" s="1" t="s">
        <v>290</v>
      </c>
      <c r="Q33" s="1" t="s">
        <v>291</v>
      </c>
      <c r="R33" s="1"/>
      <c r="S33" s="7">
        <v>0.0</v>
      </c>
      <c r="T33" s="7">
        <v>0.0</v>
      </c>
      <c r="U33" s="1"/>
      <c r="V33" s="6" t="b">
        <v>1</v>
      </c>
    </row>
    <row r="34" ht="15.75" customHeight="1">
      <c r="A34" s="1" t="s">
        <v>292</v>
      </c>
      <c r="B34" s="1" t="s">
        <v>293</v>
      </c>
      <c r="C34" s="1" t="s">
        <v>294</v>
      </c>
      <c r="D34" s="1" t="s">
        <v>293</v>
      </c>
      <c r="E34" s="1" t="s">
        <v>25</v>
      </c>
      <c r="F34" s="1" t="s">
        <v>26</v>
      </c>
      <c r="G34" s="1" t="s">
        <v>207</v>
      </c>
      <c r="H34" s="1" t="str">
        <f>IFERROR(__xludf.DUMMYFUNCTION("""COMPUTED_VALUE"""),"Ruijie Networks")</f>
        <v>Ruijie Networks</v>
      </c>
      <c r="I34" s="1" t="s">
        <v>207</v>
      </c>
      <c r="J34" s="3">
        <v>0.0</v>
      </c>
      <c r="K34" s="10" t="s">
        <v>295</v>
      </c>
      <c r="N34" s="1" t="s">
        <v>296</v>
      </c>
      <c r="O34" s="1" t="s">
        <v>297</v>
      </c>
      <c r="P34" s="1" t="s">
        <v>298</v>
      </c>
      <c r="Q34" s="1" t="s">
        <v>299</v>
      </c>
      <c r="R34" s="1"/>
      <c r="S34" s="7">
        <v>0.0</v>
      </c>
      <c r="T34" s="7">
        <v>0.0</v>
      </c>
      <c r="U34" s="1"/>
      <c r="V34" s="6" t="b">
        <v>1</v>
      </c>
    </row>
    <row r="35" ht="15.75" customHeight="1">
      <c r="A35" s="1" t="s">
        <v>300</v>
      </c>
      <c r="B35" s="1" t="s">
        <v>301</v>
      </c>
      <c r="C35" s="1" t="s">
        <v>302</v>
      </c>
      <c r="D35" s="1" t="s">
        <v>301</v>
      </c>
      <c r="E35" s="1" t="s">
        <v>25</v>
      </c>
      <c r="F35" s="1" t="s">
        <v>26</v>
      </c>
      <c r="G35" s="1" t="s">
        <v>207</v>
      </c>
      <c r="H35" s="1" t="str">
        <f>IFERROR(__xludf.DUMMYFUNCTION("""COMPUTED_VALUE"""),"Ruijie Networks")</f>
        <v>Ruijie Networks</v>
      </c>
      <c r="I35" s="1" t="s">
        <v>207</v>
      </c>
      <c r="J35" s="3">
        <v>0.0</v>
      </c>
      <c r="K35" s="10" t="s">
        <v>303</v>
      </c>
      <c r="N35" s="1" t="s">
        <v>304</v>
      </c>
      <c r="O35" s="1" t="s">
        <v>305</v>
      </c>
      <c r="P35" s="1" t="s">
        <v>306</v>
      </c>
      <c r="Q35" s="1" t="s">
        <v>307</v>
      </c>
      <c r="R35" s="1"/>
      <c r="S35" s="7">
        <v>0.0</v>
      </c>
      <c r="T35" s="7">
        <v>0.0</v>
      </c>
      <c r="U35" s="1"/>
      <c r="V35" s="6" t="b">
        <v>1</v>
      </c>
    </row>
    <row r="36" ht="15.75" customHeight="1">
      <c r="A36" s="1" t="s">
        <v>308</v>
      </c>
      <c r="B36" s="1" t="s">
        <v>309</v>
      </c>
      <c r="C36" s="1" t="s">
        <v>310</v>
      </c>
      <c r="D36" s="1" t="s">
        <v>309</v>
      </c>
      <c r="E36" s="1" t="s">
        <v>25</v>
      </c>
      <c r="F36" s="1" t="s">
        <v>26</v>
      </c>
      <c r="G36" s="1" t="s">
        <v>207</v>
      </c>
      <c r="H36" s="1" t="str">
        <f>IFERROR(__xludf.DUMMYFUNCTION("""COMPUTED_VALUE"""),"Ruijie Networks")</f>
        <v>Ruijie Networks</v>
      </c>
      <c r="I36" s="1" t="s">
        <v>207</v>
      </c>
      <c r="J36" s="3">
        <v>0.0</v>
      </c>
      <c r="K36" s="10" t="s">
        <v>311</v>
      </c>
      <c r="N36" s="1" t="s">
        <v>312</v>
      </c>
      <c r="O36" s="1" t="s">
        <v>313</v>
      </c>
      <c r="P36" s="1" t="s">
        <v>314</v>
      </c>
      <c r="Q36" s="1" t="s">
        <v>315</v>
      </c>
      <c r="R36" s="1"/>
      <c r="S36" s="7">
        <v>0.0</v>
      </c>
      <c r="T36" s="7">
        <v>0.0</v>
      </c>
      <c r="U36" s="1"/>
      <c r="V36" s="6" t="b">
        <v>1</v>
      </c>
    </row>
    <row r="37" ht="15.75" customHeight="1">
      <c r="A37" s="1" t="s">
        <v>316</v>
      </c>
      <c r="B37" s="1" t="s">
        <v>317</v>
      </c>
      <c r="C37" s="1" t="s">
        <v>318</v>
      </c>
      <c r="D37" s="1" t="s">
        <v>317</v>
      </c>
      <c r="E37" s="1" t="s">
        <v>25</v>
      </c>
      <c r="F37" s="1" t="s">
        <v>26</v>
      </c>
      <c r="G37" s="1" t="s">
        <v>207</v>
      </c>
      <c r="H37" s="1" t="str">
        <f>IFERROR(__xludf.DUMMYFUNCTION("""COMPUTED_VALUE"""),"Ruijie Networks")</f>
        <v>Ruijie Networks</v>
      </c>
      <c r="I37" s="1" t="s">
        <v>207</v>
      </c>
      <c r="J37" s="3">
        <v>0.0</v>
      </c>
      <c r="K37" s="10" t="s">
        <v>319</v>
      </c>
      <c r="N37" s="1" t="s">
        <v>320</v>
      </c>
      <c r="O37" s="1" t="s">
        <v>321</v>
      </c>
      <c r="P37" s="1" t="s">
        <v>322</v>
      </c>
      <c r="Q37" s="1" t="s">
        <v>323</v>
      </c>
      <c r="R37" s="1"/>
      <c r="S37" s="7">
        <v>0.0</v>
      </c>
      <c r="T37" s="7">
        <v>0.0</v>
      </c>
      <c r="U37" s="1"/>
      <c r="V37" s="6" t="b">
        <v>1</v>
      </c>
    </row>
    <row r="38" ht="15.75" customHeight="1">
      <c r="A38" s="1" t="s">
        <v>324</v>
      </c>
      <c r="B38" s="1" t="s">
        <v>325</v>
      </c>
      <c r="C38" s="1" t="s">
        <v>326</v>
      </c>
      <c r="D38" s="1" t="s">
        <v>325</v>
      </c>
      <c r="E38" s="1" t="s">
        <v>25</v>
      </c>
      <c r="F38" s="1" t="s">
        <v>26</v>
      </c>
      <c r="G38" s="1" t="s">
        <v>207</v>
      </c>
      <c r="H38" s="1" t="str">
        <f>IFERROR(__xludf.DUMMYFUNCTION("""COMPUTED_VALUE"""),"Ruijie Networks")</f>
        <v>Ruijie Networks</v>
      </c>
      <c r="I38" s="1" t="s">
        <v>207</v>
      </c>
      <c r="J38" s="3">
        <v>0.0</v>
      </c>
      <c r="K38" s="10" t="s">
        <v>327</v>
      </c>
      <c r="N38" s="1" t="s">
        <v>328</v>
      </c>
      <c r="O38" s="1" t="s">
        <v>329</v>
      </c>
      <c r="P38" s="1" t="s">
        <v>330</v>
      </c>
      <c r="Q38" s="1" t="s">
        <v>331</v>
      </c>
      <c r="R38" s="1"/>
      <c r="S38" s="7">
        <v>0.0</v>
      </c>
      <c r="T38" s="7">
        <v>0.0</v>
      </c>
      <c r="U38" s="1"/>
      <c r="V38" s="6" t="b">
        <v>1</v>
      </c>
    </row>
    <row r="39" ht="15.75" customHeight="1">
      <c r="A39" s="1" t="s">
        <v>332</v>
      </c>
      <c r="B39" s="1" t="s">
        <v>333</v>
      </c>
      <c r="C39" s="1" t="s">
        <v>334</v>
      </c>
      <c r="D39" s="1" t="s">
        <v>333</v>
      </c>
      <c r="E39" s="1" t="s">
        <v>25</v>
      </c>
      <c r="F39" s="1" t="s">
        <v>26</v>
      </c>
      <c r="G39" s="1" t="s">
        <v>207</v>
      </c>
      <c r="H39" s="1" t="str">
        <f>IFERROR(__xludf.DUMMYFUNCTION("""COMPUTED_VALUE"""),"Ruijie Networks")</f>
        <v>Ruijie Networks</v>
      </c>
      <c r="I39" s="1" t="s">
        <v>207</v>
      </c>
      <c r="J39" s="3">
        <v>0.0</v>
      </c>
      <c r="K39" s="10" t="s">
        <v>335</v>
      </c>
      <c r="N39" s="1" t="s">
        <v>336</v>
      </c>
      <c r="O39" s="1" t="s">
        <v>337</v>
      </c>
      <c r="P39" s="1" t="s">
        <v>338</v>
      </c>
      <c r="Q39" s="1" t="s">
        <v>339</v>
      </c>
      <c r="R39" s="1"/>
      <c r="S39" s="7">
        <v>0.0</v>
      </c>
      <c r="T39" s="7">
        <v>0.0</v>
      </c>
      <c r="U39" s="1"/>
      <c r="V39" s="6" t="b">
        <v>1</v>
      </c>
    </row>
    <row r="40" ht="15.75" customHeight="1">
      <c r="A40" s="1" t="s">
        <v>340</v>
      </c>
      <c r="B40" s="1" t="s">
        <v>341</v>
      </c>
      <c r="C40" s="1" t="s">
        <v>342</v>
      </c>
      <c r="D40" s="1" t="s">
        <v>341</v>
      </c>
      <c r="E40" s="1" t="s">
        <v>25</v>
      </c>
      <c r="F40" s="1" t="s">
        <v>26</v>
      </c>
      <c r="G40" s="1" t="s">
        <v>207</v>
      </c>
      <c r="H40" s="1" t="str">
        <f>IFERROR(__xludf.DUMMYFUNCTION("""COMPUTED_VALUE"""),"Ruijie Networks")</f>
        <v>Ruijie Networks</v>
      </c>
      <c r="I40" s="1" t="s">
        <v>207</v>
      </c>
      <c r="J40" s="3">
        <v>0.0</v>
      </c>
      <c r="K40" s="10" t="s">
        <v>343</v>
      </c>
      <c r="N40" s="1" t="s">
        <v>344</v>
      </c>
      <c r="O40" s="1" t="s">
        <v>345</v>
      </c>
      <c r="P40" s="1" t="s">
        <v>346</v>
      </c>
      <c r="Q40" s="1" t="s">
        <v>347</v>
      </c>
      <c r="R40" s="1"/>
      <c r="S40" s="7">
        <v>0.0</v>
      </c>
      <c r="T40" s="7">
        <v>0.0</v>
      </c>
      <c r="U40" s="1"/>
      <c r="V40" s="6" t="b">
        <v>1</v>
      </c>
    </row>
    <row r="41" ht="15.75" customHeight="1">
      <c r="A41" s="1" t="s">
        <v>348</v>
      </c>
      <c r="B41" s="1" t="s">
        <v>349</v>
      </c>
      <c r="C41" s="1" t="s">
        <v>350</v>
      </c>
      <c r="D41" s="1" t="s">
        <v>349</v>
      </c>
      <c r="E41" s="1" t="s">
        <v>25</v>
      </c>
      <c r="F41" s="1" t="s">
        <v>26</v>
      </c>
      <c r="G41" s="1" t="s">
        <v>207</v>
      </c>
      <c r="H41" s="1" t="str">
        <f>IFERROR(__xludf.DUMMYFUNCTION("""COMPUTED_VALUE"""),"Ruijie Networks")</f>
        <v>Ruijie Networks</v>
      </c>
      <c r="I41" s="1" t="s">
        <v>207</v>
      </c>
      <c r="J41" s="3">
        <v>0.0</v>
      </c>
      <c r="K41" s="10" t="s">
        <v>351</v>
      </c>
      <c r="N41" s="1" t="s">
        <v>352</v>
      </c>
      <c r="O41" s="1" t="s">
        <v>353</v>
      </c>
      <c r="P41" s="1" t="s">
        <v>354</v>
      </c>
      <c r="Q41" s="1" t="s">
        <v>355</v>
      </c>
      <c r="R41" s="1"/>
      <c r="S41" s="7">
        <v>0.0</v>
      </c>
      <c r="T41" s="7">
        <v>0.0</v>
      </c>
      <c r="U41" s="1"/>
      <c r="V41" s="6" t="b">
        <v>1</v>
      </c>
    </row>
    <row r="42" ht="15.75" customHeight="1">
      <c r="A42" s="1" t="s">
        <v>356</v>
      </c>
      <c r="B42" s="1" t="s">
        <v>357</v>
      </c>
      <c r="C42" s="1" t="s">
        <v>358</v>
      </c>
      <c r="D42" s="1" t="s">
        <v>357</v>
      </c>
      <c r="E42" s="1" t="s">
        <v>25</v>
      </c>
      <c r="F42" s="1" t="s">
        <v>26</v>
      </c>
      <c r="G42" s="1" t="s">
        <v>207</v>
      </c>
      <c r="H42" s="1" t="str">
        <f>IFERROR(__xludf.DUMMYFUNCTION("""COMPUTED_VALUE"""),"Ruijie Networks")</f>
        <v>Ruijie Networks</v>
      </c>
      <c r="I42" s="1" t="s">
        <v>207</v>
      </c>
      <c r="J42" s="3">
        <v>0.0</v>
      </c>
      <c r="K42" s="10" t="s">
        <v>359</v>
      </c>
      <c r="N42" s="1" t="s">
        <v>360</v>
      </c>
      <c r="O42" s="1" t="s">
        <v>361</v>
      </c>
      <c r="P42" s="1" t="s">
        <v>362</v>
      </c>
      <c r="Q42" s="1" t="s">
        <v>363</v>
      </c>
      <c r="R42" s="1"/>
      <c r="S42" s="7">
        <v>0.0</v>
      </c>
      <c r="T42" s="7">
        <v>0.0</v>
      </c>
      <c r="U42" s="1"/>
      <c r="V42" s="6" t="b">
        <v>1</v>
      </c>
    </row>
    <row r="43" ht="15.75" customHeight="1">
      <c r="A43" s="1" t="s">
        <v>364</v>
      </c>
      <c r="B43" s="1" t="s">
        <v>365</v>
      </c>
      <c r="C43" s="1" t="s">
        <v>366</v>
      </c>
      <c r="D43" s="1" t="s">
        <v>365</v>
      </c>
      <c r="E43" s="1" t="s">
        <v>25</v>
      </c>
      <c r="F43" s="1" t="s">
        <v>26</v>
      </c>
      <c r="G43" s="1" t="s">
        <v>207</v>
      </c>
      <c r="H43" s="1" t="str">
        <f>IFERROR(__xludf.DUMMYFUNCTION("""COMPUTED_VALUE"""),"Ruijie Networks")</f>
        <v>Ruijie Networks</v>
      </c>
      <c r="I43" s="1" t="s">
        <v>207</v>
      </c>
      <c r="J43" s="3">
        <v>0.0</v>
      </c>
      <c r="K43" s="10" t="s">
        <v>367</v>
      </c>
      <c r="N43" s="1" t="s">
        <v>368</v>
      </c>
      <c r="O43" s="1" t="s">
        <v>369</v>
      </c>
      <c r="P43" s="1" t="s">
        <v>370</v>
      </c>
      <c r="Q43" s="1" t="s">
        <v>371</v>
      </c>
      <c r="R43" s="1"/>
      <c r="S43" s="7">
        <v>0.0</v>
      </c>
      <c r="T43" s="7">
        <v>0.0</v>
      </c>
      <c r="U43" s="1"/>
      <c r="V43" s="6" t="b">
        <v>1</v>
      </c>
    </row>
    <row r="44" ht="15.75" customHeight="1">
      <c r="A44" s="1" t="s">
        <v>372</v>
      </c>
      <c r="B44" s="1" t="s">
        <v>373</v>
      </c>
      <c r="C44" s="1" t="s">
        <v>374</v>
      </c>
      <c r="D44" s="1" t="s">
        <v>373</v>
      </c>
      <c r="E44" s="1" t="s">
        <v>25</v>
      </c>
      <c r="F44" s="1" t="s">
        <v>26</v>
      </c>
      <c r="G44" s="1" t="s">
        <v>207</v>
      </c>
      <c r="H44" s="1" t="str">
        <f>IFERROR(__xludf.DUMMYFUNCTION("""COMPUTED_VALUE"""),"Ruijie Networks")</f>
        <v>Ruijie Networks</v>
      </c>
      <c r="I44" s="1" t="s">
        <v>207</v>
      </c>
      <c r="J44" s="3">
        <v>0.0</v>
      </c>
      <c r="K44" s="10" t="s">
        <v>375</v>
      </c>
      <c r="N44" s="1" t="s">
        <v>376</v>
      </c>
      <c r="O44" s="1" t="s">
        <v>377</v>
      </c>
      <c r="P44" s="1" t="s">
        <v>378</v>
      </c>
      <c r="Q44" s="1" t="s">
        <v>379</v>
      </c>
      <c r="R44" s="1"/>
      <c r="S44" s="7">
        <v>0.0</v>
      </c>
      <c r="T44" s="7">
        <v>0.0</v>
      </c>
      <c r="U44" s="1"/>
      <c r="V44" s="6" t="b">
        <v>1</v>
      </c>
    </row>
    <row r="45" ht="15.75" customHeight="1">
      <c r="A45" s="1" t="s">
        <v>380</v>
      </c>
      <c r="B45" s="1" t="s">
        <v>381</v>
      </c>
      <c r="C45" s="1" t="s">
        <v>382</v>
      </c>
      <c r="D45" s="1" t="s">
        <v>381</v>
      </c>
      <c r="E45" s="1" t="s">
        <v>25</v>
      </c>
      <c r="F45" s="1" t="s">
        <v>26</v>
      </c>
      <c r="G45" s="1" t="s">
        <v>207</v>
      </c>
      <c r="H45" s="1" t="str">
        <f>IFERROR(__xludf.DUMMYFUNCTION("""COMPUTED_VALUE"""),"Ruijie Networks")</f>
        <v>Ruijie Networks</v>
      </c>
      <c r="I45" s="1" t="s">
        <v>207</v>
      </c>
      <c r="J45" s="3">
        <v>0.0</v>
      </c>
      <c r="K45" s="10" t="s">
        <v>383</v>
      </c>
      <c r="N45" s="1" t="s">
        <v>384</v>
      </c>
      <c r="O45" s="1" t="s">
        <v>385</v>
      </c>
      <c r="P45" s="1" t="s">
        <v>386</v>
      </c>
      <c r="Q45" s="1" t="s">
        <v>387</v>
      </c>
      <c r="R45" s="1"/>
      <c r="S45" s="7">
        <v>0.0</v>
      </c>
      <c r="T45" s="7">
        <v>0.0</v>
      </c>
      <c r="U45" s="1"/>
      <c r="V45" s="6" t="b">
        <v>1</v>
      </c>
    </row>
    <row r="46" ht="15.75" customHeight="1">
      <c r="A46" s="1" t="s">
        <v>388</v>
      </c>
      <c r="B46" s="1" t="s">
        <v>389</v>
      </c>
      <c r="C46" s="1" t="s">
        <v>390</v>
      </c>
      <c r="D46" s="1" t="s">
        <v>389</v>
      </c>
      <c r="E46" s="1" t="s">
        <v>25</v>
      </c>
      <c r="F46" s="1" t="s">
        <v>26</v>
      </c>
      <c r="G46" s="1" t="s">
        <v>207</v>
      </c>
      <c r="H46" s="1" t="str">
        <f>IFERROR(__xludf.DUMMYFUNCTION("""COMPUTED_VALUE"""),"Ruijie Networks")</f>
        <v>Ruijie Networks</v>
      </c>
      <c r="I46" s="1" t="s">
        <v>207</v>
      </c>
      <c r="J46" s="3">
        <v>0.0</v>
      </c>
      <c r="K46" s="10" t="s">
        <v>391</v>
      </c>
      <c r="N46" s="1" t="s">
        <v>392</v>
      </c>
      <c r="O46" s="1" t="s">
        <v>393</v>
      </c>
      <c r="P46" s="1" t="s">
        <v>394</v>
      </c>
      <c r="Q46" s="1" t="s">
        <v>315</v>
      </c>
      <c r="R46" s="1"/>
      <c r="S46" s="7">
        <v>0.0</v>
      </c>
      <c r="T46" s="7">
        <v>0.0</v>
      </c>
      <c r="U46" s="1"/>
      <c r="V46" s="6" t="b">
        <v>1</v>
      </c>
    </row>
    <row r="47" ht="15.75" customHeight="1">
      <c r="A47" s="1" t="s">
        <v>395</v>
      </c>
      <c r="B47" s="1" t="s">
        <v>396</v>
      </c>
      <c r="C47" s="1" t="s">
        <v>397</v>
      </c>
      <c r="D47" s="1" t="s">
        <v>396</v>
      </c>
      <c r="E47" s="1" t="s">
        <v>25</v>
      </c>
      <c r="F47" s="1" t="s">
        <v>26</v>
      </c>
      <c r="G47" s="1" t="s">
        <v>207</v>
      </c>
      <c r="H47" s="1" t="str">
        <f>IFERROR(__xludf.DUMMYFUNCTION("""COMPUTED_VALUE"""),"Ruijie Networks")</f>
        <v>Ruijie Networks</v>
      </c>
      <c r="I47" s="1" t="s">
        <v>207</v>
      </c>
      <c r="J47" s="3">
        <v>0.0</v>
      </c>
      <c r="K47" s="10" t="s">
        <v>398</v>
      </c>
      <c r="N47" s="1" t="s">
        <v>399</v>
      </c>
      <c r="O47" s="1" t="s">
        <v>400</v>
      </c>
      <c r="P47" s="1" t="s">
        <v>401</v>
      </c>
      <c r="Q47" s="1" t="s">
        <v>402</v>
      </c>
      <c r="R47" s="1"/>
      <c r="S47" s="7">
        <v>0.0</v>
      </c>
      <c r="T47" s="7">
        <v>0.0</v>
      </c>
      <c r="U47" s="1"/>
      <c r="V47" s="6" t="b">
        <v>1</v>
      </c>
    </row>
    <row r="48" ht="15.75" customHeight="1">
      <c r="A48" s="1" t="s">
        <v>403</v>
      </c>
      <c r="B48" s="1" t="s">
        <v>404</v>
      </c>
      <c r="C48" s="1" t="s">
        <v>405</v>
      </c>
      <c r="D48" s="1" t="s">
        <v>404</v>
      </c>
      <c r="E48" s="1" t="s">
        <v>25</v>
      </c>
      <c r="F48" s="1" t="s">
        <v>26</v>
      </c>
      <c r="G48" s="1" t="s">
        <v>207</v>
      </c>
      <c r="H48" s="1" t="str">
        <f>IFERROR(__xludf.DUMMYFUNCTION("""COMPUTED_VALUE"""),"Ruijie Networks")</f>
        <v>Ruijie Networks</v>
      </c>
      <c r="I48" s="1" t="s">
        <v>207</v>
      </c>
      <c r="J48" s="3">
        <v>0.0</v>
      </c>
      <c r="K48" s="10" t="s">
        <v>406</v>
      </c>
      <c r="N48" s="1" t="s">
        <v>407</v>
      </c>
      <c r="O48" s="1" t="s">
        <v>408</v>
      </c>
      <c r="P48" s="1" t="s">
        <v>409</v>
      </c>
      <c r="Q48" s="1" t="s">
        <v>410</v>
      </c>
      <c r="R48" s="1"/>
      <c r="S48" s="7">
        <v>0.0</v>
      </c>
      <c r="T48" s="7">
        <v>0.0</v>
      </c>
      <c r="U48" s="1"/>
      <c r="V48" s="6" t="b">
        <v>1</v>
      </c>
    </row>
    <row r="49" ht="15.75" customHeight="1">
      <c r="A49" s="1" t="s">
        <v>411</v>
      </c>
      <c r="B49" s="1" t="s">
        <v>412</v>
      </c>
      <c r="C49" s="1" t="s">
        <v>413</v>
      </c>
      <c r="D49" s="1" t="s">
        <v>412</v>
      </c>
      <c r="E49" s="1" t="s">
        <v>25</v>
      </c>
      <c r="F49" s="1" t="s">
        <v>26</v>
      </c>
      <c r="G49" s="1" t="s">
        <v>207</v>
      </c>
      <c r="H49" s="1" t="str">
        <f>IFERROR(__xludf.DUMMYFUNCTION("""COMPUTED_VALUE"""),"Ruijie Networks")</f>
        <v>Ruijie Networks</v>
      </c>
      <c r="I49" s="1" t="s">
        <v>207</v>
      </c>
      <c r="J49" s="3">
        <v>0.0</v>
      </c>
      <c r="K49" s="10" t="s">
        <v>414</v>
      </c>
      <c r="N49" s="1" t="s">
        <v>415</v>
      </c>
      <c r="O49" s="1" t="s">
        <v>416</v>
      </c>
      <c r="P49" s="1" t="s">
        <v>417</v>
      </c>
      <c r="Q49" s="1" t="s">
        <v>418</v>
      </c>
      <c r="R49" s="1"/>
      <c r="S49" s="7">
        <v>0.0</v>
      </c>
      <c r="T49" s="7">
        <v>0.0</v>
      </c>
      <c r="U49" s="1"/>
      <c r="V49" s="6" t="b">
        <v>1</v>
      </c>
    </row>
    <row r="50" ht="15.75" customHeight="1">
      <c r="A50" s="1" t="s">
        <v>419</v>
      </c>
      <c r="B50" s="1" t="s">
        <v>420</v>
      </c>
      <c r="C50" s="1" t="s">
        <v>421</v>
      </c>
      <c r="D50" s="1" t="s">
        <v>420</v>
      </c>
      <c r="E50" s="1" t="s">
        <v>25</v>
      </c>
      <c r="F50" s="1" t="s">
        <v>26</v>
      </c>
      <c r="G50" s="1" t="s">
        <v>207</v>
      </c>
      <c r="H50" s="1" t="str">
        <f>IFERROR(__xludf.DUMMYFUNCTION("""COMPUTED_VALUE"""),"Ruijie Networks")</f>
        <v>Ruijie Networks</v>
      </c>
      <c r="I50" s="1" t="s">
        <v>207</v>
      </c>
      <c r="J50" s="3">
        <v>0.0</v>
      </c>
      <c r="K50" s="10" t="s">
        <v>422</v>
      </c>
      <c r="N50" s="1" t="s">
        <v>423</v>
      </c>
      <c r="O50" s="1" t="s">
        <v>424</v>
      </c>
      <c r="P50" s="1" t="s">
        <v>425</v>
      </c>
      <c r="Q50" s="1" t="s">
        <v>426</v>
      </c>
      <c r="R50" s="1"/>
      <c r="S50" s="7">
        <v>0.0</v>
      </c>
      <c r="T50" s="7">
        <v>0.0</v>
      </c>
      <c r="U50" s="1"/>
      <c r="V50" s="6" t="b">
        <v>1</v>
      </c>
    </row>
    <row r="51" ht="15.75" customHeight="1">
      <c r="A51" s="1" t="s">
        <v>427</v>
      </c>
      <c r="B51" s="1" t="s">
        <v>428</v>
      </c>
      <c r="C51" s="1" t="s">
        <v>429</v>
      </c>
      <c r="D51" s="1" t="s">
        <v>428</v>
      </c>
      <c r="E51" s="1" t="s">
        <v>25</v>
      </c>
      <c r="F51" s="1" t="s">
        <v>26</v>
      </c>
      <c r="G51" s="1" t="s">
        <v>207</v>
      </c>
      <c r="H51" s="1" t="str">
        <f>IFERROR(__xludf.DUMMYFUNCTION("""COMPUTED_VALUE"""),"Ruijie Networks")</f>
        <v>Ruijie Networks</v>
      </c>
      <c r="I51" s="1" t="s">
        <v>207</v>
      </c>
      <c r="J51" s="3">
        <v>0.0</v>
      </c>
      <c r="K51" s="10" t="s">
        <v>430</v>
      </c>
      <c r="N51" s="1" t="s">
        <v>431</v>
      </c>
      <c r="O51" s="1" t="s">
        <v>432</v>
      </c>
      <c r="P51" s="1" t="s">
        <v>433</v>
      </c>
      <c r="Q51" s="1" t="s">
        <v>434</v>
      </c>
      <c r="R51" s="1"/>
      <c r="S51" s="7">
        <v>0.0</v>
      </c>
      <c r="T51" s="7">
        <v>0.0</v>
      </c>
      <c r="U51" s="1"/>
      <c r="V51" s="6" t="b">
        <v>1</v>
      </c>
    </row>
    <row r="52" ht="15.75" customHeight="1">
      <c r="A52" s="1" t="s">
        <v>435</v>
      </c>
      <c r="B52" s="1" t="s">
        <v>436</v>
      </c>
      <c r="C52" s="1" t="s">
        <v>437</v>
      </c>
      <c r="D52" s="1" t="s">
        <v>436</v>
      </c>
      <c r="E52" s="1" t="s">
        <v>25</v>
      </c>
      <c r="F52" s="1" t="s">
        <v>26</v>
      </c>
      <c r="G52" s="1" t="s">
        <v>207</v>
      </c>
      <c r="H52" s="1" t="str">
        <f>IFERROR(__xludf.DUMMYFUNCTION("""COMPUTED_VALUE"""),"Ruijie Networks")</f>
        <v>Ruijie Networks</v>
      </c>
      <c r="I52" s="1" t="s">
        <v>207</v>
      </c>
      <c r="J52" s="3">
        <v>0.0</v>
      </c>
      <c r="K52" s="10" t="s">
        <v>438</v>
      </c>
      <c r="N52" s="1" t="s">
        <v>439</v>
      </c>
      <c r="O52" s="1" t="s">
        <v>440</v>
      </c>
      <c r="P52" s="1" t="s">
        <v>441</v>
      </c>
      <c r="Q52" s="1" t="s">
        <v>442</v>
      </c>
      <c r="R52" s="1"/>
      <c r="S52" s="7">
        <v>0.0</v>
      </c>
      <c r="T52" s="7">
        <v>0.0</v>
      </c>
      <c r="U52" s="1"/>
      <c r="V52" s="6" t="b">
        <v>1</v>
      </c>
    </row>
    <row r="53" ht="15.75" customHeight="1">
      <c r="A53" s="1" t="s">
        <v>443</v>
      </c>
      <c r="B53" s="1" t="s">
        <v>444</v>
      </c>
      <c r="C53" s="1" t="s">
        <v>445</v>
      </c>
      <c r="D53" s="1" t="s">
        <v>444</v>
      </c>
      <c r="E53" s="1" t="s">
        <v>25</v>
      </c>
      <c r="F53" s="1" t="s">
        <v>26</v>
      </c>
      <c r="G53" s="1" t="s">
        <v>207</v>
      </c>
      <c r="H53" s="1" t="str">
        <f>IFERROR(__xludf.DUMMYFUNCTION("""COMPUTED_VALUE"""),"Ruijie Networks")</f>
        <v>Ruijie Networks</v>
      </c>
      <c r="I53" s="1" t="s">
        <v>207</v>
      </c>
      <c r="J53" s="3">
        <v>0.0</v>
      </c>
      <c r="K53" s="10" t="s">
        <v>446</v>
      </c>
      <c r="N53" s="1" t="s">
        <v>447</v>
      </c>
      <c r="O53" s="1" t="s">
        <v>448</v>
      </c>
      <c r="P53" s="1" t="s">
        <v>449</v>
      </c>
      <c r="Q53" s="1" t="s">
        <v>450</v>
      </c>
      <c r="R53" s="1"/>
      <c r="S53" s="7">
        <v>0.0</v>
      </c>
      <c r="T53" s="7">
        <v>0.0</v>
      </c>
      <c r="U53" s="1"/>
      <c r="V53" s="6" t="b">
        <v>1</v>
      </c>
    </row>
    <row r="54" ht="15.75" customHeight="1">
      <c r="A54" s="1" t="s">
        <v>451</v>
      </c>
      <c r="B54" s="1" t="s">
        <v>452</v>
      </c>
      <c r="C54" s="1" t="s">
        <v>453</v>
      </c>
      <c r="D54" s="1" t="s">
        <v>452</v>
      </c>
      <c r="E54" s="1" t="s">
        <v>25</v>
      </c>
      <c r="F54" s="1" t="s">
        <v>26</v>
      </c>
      <c r="G54" s="1" t="s">
        <v>207</v>
      </c>
      <c r="H54" s="1" t="str">
        <f>IFERROR(__xludf.DUMMYFUNCTION("""COMPUTED_VALUE"""),"Ruijie Networks")</f>
        <v>Ruijie Networks</v>
      </c>
      <c r="I54" s="1" t="s">
        <v>207</v>
      </c>
      <c r="J54" s="3">
        <v>0.0</v>
      </c>
      <c r="K54" s="10" t="s">
        <v>454</v>
      </c>
      <c r="N54" s="1" t="s">
        <v>455</v>
      </c>
      <c r="O54" s="1" t="s">
        <v>456</v>
      </c>
      <c r="P54" s="1" t="s">
        <v>457</v>
      </c>
      <c r="Q54" s="1" t="s">
        <v>458</v>
      </c>
      <c r="R54" s="1"/>
      <c r="S54" s="7">
        <v>0.0</v>
      </c>
      <c r="T54" s="7">
        <v>0.0</v>
      </c>
      <c r="U54" s="1"/>
      <c r="V54" s="6" t="b">
        <v>1</v>
      </c>
    </row>
    <row r="55" ht="15.75" customHeight="1">
      <c r="A55" s="1" t="s">
        <v>459</v>
      </c>
      <c r="B55" s="1" t="s">
        <v>460</v>
      </c>
      <c r="C55" s="1" t="s">
        <v>461</v>
      </c>
      <c r="D55" s="1" t="s">
        <v>460</v>
      </c>
      <c r="E55" s="1" t="s">
        <v>25</v>
      </c>
      <c r="F55" s="1" t="s">
        <v>26</v>
      </c>
      <c r="G55" s="1" t="s">
        <v>207</v>
      </c>
      <c r="H55" s="1" t="str">
        <f>IFERROR(__xludf.DUMMYFUNCTION("""COMPUTED_VALUE"""),"Ruijie Networks")</f>
        <v>Ruijie Networks</v>
      </c>
      <c r="I55" s="1" t="s">
        <v>207</v>
      </c>
      <c r="J55" s="3">
        <v>0.0</v>
      </c>
      <c r="K55" s="10" t="s">
        <v>462</v>
      </c>
      <c r="N55" s="1" t="s">
        <v>463</v>
      </c>
      <c r="O55" s="1" t="s">
        <v>464</v>
      </c>
      <c r="P55" s="1" t="s">
        <v>465</v>
      </c>
      <c r="Q55" s="1" t="s">
        <v>466</v>
      </c>
      <c r="R55" s="1"/>
      <c r="S55" s="7">
        <v>0.0</v>
      </c>
      <c r="T55" s="7">
        <v>0.0</v>
      </c>
      <c r="U55" s="1"/>
      <c r="V55" s="6" t="b">
        <v>1</v>
      </c>
    </row>
    <row r="56" ht="15.75" customHeight="1">
      <c r="A56" s="1" t="s">
        <v>467</v>
      </c>
      <c r="B56" s="1" t="s">
        <v>468</v>
      </c>
      <c r="C56" s="1" t="s">
        <v>469</v>
      </c>
      <c r="D56" s="1" t="s">
        <v>468</v>
      </c>
      <c r="E56" s="1" t="s">
        <v>25</v>
      </c>
      <c r="F56" s="1" t="s">
        <v>26</v>
      </c>
      <c r="G56" s="1" t="s">
        <v>207</v>
      </c>
      <c r="H56" s="1" t="str">
        <f>IFERROR(__xludf.DUMMYFUNCTION("""COMPUTED_VALUE"""),"Ruijie Networks")</f>
        <v>Ruijie Networks</v>
      </c>
      <c r="I56" s="1" t="s">
        <v>207</v>
      </c>
      <c r="J56" s="3">
        <v>0.0</v>
      </c>
      <c r="K56" s="10" t="s">
        <v>470</v>
      </c>
      <c r="N56" s="1" t="s">
        <v>471</v>
      </c>
      <c r="O56" s="1" t="s">
        <v>472</v>
      </c>
      <c r="P56" s="1" t="s">
        <v>473</v>
      </c>
      <c r="Q56" s="1" t="s">
        <v>474</v>
      </c>
      <c r="R56" s="1"/>
      <c r="S56" s="7">
        <v>0.0</v>
      </c>
      <c r="T56" s="7">
        <v>0.0</v>
      </c>
      <c r="U56" s="1"/>
      <c r="V56" s="6" t="b">
        <v>1</v>
      </c>
    </row>
    <row r="57" ht="15.75" customHeight="1">
      <c r="A57" s="1" t="s">
        <v>475</v>
      </c>
      <c r="B57" s="1" t="s">
        <v>476</v>
      </c>
      <c r="C57" s="1" t="s">
        <v>477</v>
      </c>
      <c r="D57" s="1" t="s">
        <v>476</v>
      </c>
      <c r="E57" s="1" t="s">
        <v>25</v>
      </c>
      <c r="F57" s="1" t="s">
        <v>26</v>
      </c>
      <c r="G57" s="1" t="s">
        <v>207</v>
      </c>
      <c r="H57" s="1" t="str">
        <f>IFERROR(__xludf.DUMMYFUNCTION("""COMPUTED_VALUE"""),"Ruijie Networks")</f>
        <v>Ruijie Networks</v>
      </c>
      <c r="I57" s="1" t="s">
        <v>207</v>
      </c>
      <c r="J57" s="3">
        <v>0.0</v>
      </c>
      <c r="K57" s="10" t="s">
        <v>478</v>
      </c>
      <c r="N57" s="1" t="s">
        <v>479</v>
      </c>
      <c r="O57" s="1" t="s">
        <v>480</v>
      </c>
      <c r="P57" s="1" t="s">
        <v>481</v>
      </c>
      <c r="Q57" s="1" t="s">
        <v>482</v>
      </c>
      <c r="R57" s="1"/>
      <c r="S57" s="7">
        <v>0.0</v>
      </c>
      <c r="T57" s="7">
        <v>0.0</v>
      </c>
      <c r="U57" s="1"/>
      <c r="V57" s="6" t="b">
        <v>1</v>
      </c>
    </row>
    <row r="58" ht="15.75" customHeight="1">
      <c r="A58" s="1" t="s">
        <v>483</v>
      </c>
      <c r="B58" s="1" t="s">
        <v>484</v>
      </c>
      <c r="C58" s="1" t="s">
        <v>485</v>
      </c>
      <c r="D58" s="1" t="s">
        <v>484</v>
      </c>
      <c r="E58" s="1" t="s">
        <v>25</v>
      </c>
      <c r="F58" s="1" t="s">
        <v>26</v>
      </c>
      <c r="G58" s="1" t="s">
        <v>207</v>
      </c>
      <c r="H58" s="1" t="str">
        <f>IFERROR(__xludf.DUMMYFUNCTION("""COMPUTED_VALUE"""),"Ruijie Networks")</f>
        <v>Ruijie Networks</v>
      </c>
      <c r="I58" s="1" t="s">
        <v>207</v>
      </c>
      <c r="J58" s="3">
        <v>0.0</v>
      </c>
      <c r="K58" s="10" t="s">
        <v>486</v>
      </c>
      <c r="N58" s="1" t="s">
        <v>392</v>
      </c>
      <c r="O58" s="1" t="s">
        <v>487</v>
      </c>
      <c r="P58" s="1" t="s">
        <v>488</v>
      </c>
      <c r="Q58" s="1" t="s">
        <v>489</v>
      </c>
      <c r="R58" s="1"/>
      <c r="S58" s="7">
        <v>0.0</v>
      </c>
      <c r="T58" s="7">
        <v>0.0</v>
      </c>
      <c r="U58" s="1"/>
      <c r="V58" s="6" t="b">
        <v>1</v>
      </c>
    </row>
    <row r="59" ht="15.75" customHeight="1">
      <c r="A59" s="1" t="s">
        <v>490</v>
      </c>
      <c r="B59" s="1" t="s">
        <v>491</v>
      </c>
      <c r="C59" s="1" t="s">
        <v>492</v>
      </c>
      <c r="D59" s="1" t="s">
        <v>491</v>
      </c>
      <c r="E59" s="1" t="s">
        <v>25</v>
      </c>
      <c r="F59" s="1" t="s">
        <v>26</v>
      </c>
      <c r="G59" s="1" t="s">
        <v>207</v>
      </c>
      <c r="H59" s="1" t="str">
        <f>IFERROR(__xludf.DUMMYFUNCTION("""COMPUTED_VALUE"""),"Ruijie Networks")</f>
        <v>Ruijie Networks</v>
      </c>
      <c r="I59" s="1" t="s">
        <v>207</v>
      </c>
      <c r="J59" s="3">
        <v>0.0</v>
      </c>
      <c r="K59" s="10" t="s">
        <v>493</v>
      </c>
      <c r="N59" s="1" t="s">
        <v>494</v>
      </c>
      <c r="O59" s="1" t="s">
        <v>495</v>
      </c>
      <c r="P59" s="1" t="s">
        <v>496</v>
      </c>
      <c r="Q59" s="1" t="s">
        <v>497</v>
      </c>
      <c r="R59" s="1"/>
      <c r="S59" s="7">
        <v>0.0</v>
      </c>
      <c r="T59" s="7">
        <v>0.0</v>
      </c>
      <c r="U59" s="1"/>
      <c r="V59" s="6" t="b">
        <v>1</v>
      </c>
    </row>
    <row r="60" ht="15.75" customHeight="1">
      <c r="A60" s="1" t="s">
        <v>498</v>
      </c>
      <c r="B60" s="1" t="s">
        <v>499</v>
      </c>
      <c r="C60" s="1" t="s">
        <v>500</v>
      </c>
      <c r="D60" s="1" t="s">
        <v>499</v>
      </c>
      <c r="E60" s="1" t="s">
        <v>25</v>
      </c>
      <c r="F60" s="1" t="s">
        <v>26</v>
      </c>
      <c r="G60" s="1" t="s">
        <v>207</v>
      </c>
      <c r="H60" s="1" t="str">
        <f>IFERROR(__xludf.DUMMYFUNCTION("""COMPUTED_VALUE"""),"Ruijie Networks")</f>
        <v>Ruijie Networks</v>
      </c>
      <c r="I60" s="1" t="s">
        <v>207</v>
      </c>
      <c r="J60" s="3">
        <v>0.0</v>
      </c>
      <c r="K60" s="10" t="s">
        <v>501</v>
      </c>
      <c r="N60" s="1" t="s">
        <v>502</v>
      </c>
      <c r="O60" s="1" t="s">
        <v>503</v>
      </c>
      <c r="P60" s="1" t="s">
        <v>504</v>
      </c>
      <c r="Q60" s="1" t="s">
        <v>505</v>
      </c>
      <c r="R60" s="1"/>
      <c r="S60" s="7">
        <v>0.0</v>
      </c>
      <c r="T60" s="7">
        <v>0.0</v>
      </c>
      <c r="U60" s="1"/>
      <c r="V60" s="6" t="b">
        <v>1</v>
      </c>
    </row>
    <row r="61" ht="15.75" customHeight="1">
      <c r="A61" s="1" t="s">
        <v>506</v>
      </c>
      <c r="B61" s="1" t="s">
        <v>507</v>
      </c>
      <c r="C61" s="1" t="s">
        <v>508</v>
      </c>
      <c r="D61" s="1" t="s">
        <v>507</v>
      </c>
      <c r="E61" s="1" t="s">
        <v>25</v>
      </c>
      <c r="F61" s="1" t="s">
        <v>26</v>
      </c>
      <c r="G61" s="1" t="s">
        <v>207</v>
      </c>
      <c r="H61" s="1" t="str">
        <f>IFERROR(__xludf.DUMMYFUNCTION("""COMPUTED_VALUE"""),"Ruijie Networks")</f>
        <v>Ruijie Networks</v>
      </c>
      <c r="I61" s="1" t="s">
        <v>207</v>
      </c>
      <c r="J61" s="3">
        <v>0.0</v>
      </c>
      <c r="K61" s="10" t="s">
        <v>509</v>
      </c>
      <c r="N61" s="1" t="s">
        <v>510</v>
      </c>
      <c r="O61" s="1" t="s">
        <v>511</v>
      </c>
      <c r="P61" s="1" t="s">
        <v>512</v>
      </c>
      <c r="Q61" s="1" t="s">
        <v>513</v>
      </c>
      <c r="R61" s="1"/>
      <c r="S61" s="7">
        <v>0.0</v>
      </c>
      <c r="T61" s="7">
        <v>0.0</v>
      </c>
      <c r="U61" s="1"/>
      <c r="V61" s="6" t="b">
        <v>1</v>
      </c>
    </row>
    <row r="62" ht="15.75" customHeight="1">
      <c r="A62" s="1" t="s">
        <v>514</v>
      </c>
      <c r="B62" s="1" t="s">
        <v>515</v>
      </c>
      <c r="C62" s="1" t="s">
        <v>516</v>
      </c>
      <c r="D62" s="1" t="s">
        <v>515</v>
      </c>
      <c r="E62" s="1" t="s">
        <v>25</v>
      </c>
      <c r="F62" s="1" t="s">
        <v>26</v>
      </c>
      <c r="G62" s="1" t="s">
        <v>207</v>
      </c>
      <c r="H62" s="1" t="str">
        <f>IFERROR(__xludf.DUMMYFUNCTION("""COMPUTED_VALUE"""),"Ruijie Networks")</f>
        <v>Ruijie Networks</v>
      </c>
      <c r="I62" s="1" t="s">
        <v>207</v>
      </c>
      <c r="J62" s="3">
        <v>0.0</v>
      </c>
      <c r="K62" s="10" t="s">
        <v>517</v>
      </c>
      <c r="N62" s="1" t="s">
        <v>518</v>
      </c>
      <c r="O62" s="1" t="s">
        <v>519</v>
      </c>
      <c r="P62" s="1" t="s">
        <v>520</v>
      </c>
      <c r="Q62" s="1" t="s">
        <v>521</v>
      </c>
      <c r="R62" s="1"/>
      <c r="S62" s="7">
        <v>0.0</v>
      </c>
      <c r="T62" s="7">
        <v>0.0</v>
      </c>
      <c r="U62" s="1"/>
      <c r="V62" s="6" t="b">
        <v>1</v>
      </c>
    </row>
    <row r="63" ht="15.75" customHeight="1">
      <c r="A63" s="1" t="s">
        <v>522</v>
      </c>
      <c r="B63" s="1" t="s">
        <v>523</v>
      </c>
      <c r="C63" s="1" t="s">
        <v>524</v>
      </c>
      <c r="D63" s="1" t="s">
        <v>523</v>
      </c>
      <c r="E63" s="1" t="s">
        <v>25</v>
      </c>
      <c r="F63" s="1" t="s">
        <v>26</v>
      </c>
      <c r="G63" s="1" t="s">
        <v>207</v>
      </c>
      <c r="H63" s="1" t="str">
        <f>IFERROR(__xludf.DUMMYFUNCTION("""COMPUTED_VALUE"""),"Ruijie Networks")</f>
        <v>Ruijie Networks</v>
      </c>
      <c r="I63" s="1" t="s">
        <v>207</v>
      </c>
      <c r="J63" s="3">
        <v>0.0</v>
      </c>
      <c r="K63" s="10" t="s">
        <v>525</v>
      </c>
      <c r="N63" s="1" t="s">
        <v>526</v>
      </c>
      <c r="O63" s="1" t="s">
        <v>527</v>
      </c>
      <c r="P63" s="1" t="s">
        <v>528</v>
      </c>
      <c r="Q63" s="1" t="s">
        <v>529</v>
      </c>
      <c r="R63" s="1"/>
      <c r="S63" s="7">
        <v>0.0</v>
      </c>
      <c r="T63" s="7">
        <v>0.0</v>
      </c>
      <c r="U63" s="1"/>
      <c r="V63" s="6" t="b">
        <v>1</v>
      </c>
    </row>
    <row r="64" ht="15.75" customHeight="1">
      <c r="A64" s="1" t="s">
        <v>530</v>
      </c>
      <c r="B64" s="1" t="s">
        <v>531</v>
      </c>
      <c r="C64" s="1" t="s">
        <v>532</v>
      </c>
      <c r="D64" s="1" t="s">
        <v>531</v>
      </c>
      <c r="E64" s="1" t="s">
        <v>25</v>
      </c>
      <c r="F64" s="1" t="s">
        <v>26</v>
      </c>
      <c r="G64" s="1" t="s">
        <v>207</v>
      </c>
      <c r="H64" s="1" t="str">
        <f>IFERROR(__xludf.DUMMYFUNCTION("""COMPUTED_VALUE"""),"Ruijie Networks")</f>
        <v>Ruijie Networks</v>
      </c>
      <c r="I64" s="1" t="s">
        <v>207</v>
      </c>
      <c r="J64" s="3">
        <v>0.0</v>
      </c>
      <c r="K64" s="10" t="s">
        <v>533</v>
      </c>
      <c r="N64" s="1" t="s">
        <v>534</v>
      </c>
      <c r="O64" s="1" t="s">
        <v>535</v>
      </c>
      <c r="P64" s="1" t="s">
        <v>536</v>
      </c>
      <c r="Q64" s="1" t="s">
        <v>529</v>
      </c>
      <c r="R64" s="1"/>
      <c r="S64" s="7">
        <v>0.0</v>
      </c>
      <c r="T64" s="7">
        <v>0.0</v>
      </c>
      <c r="U64" s="1"/>
      <c r="V64" s="6" t="b">
        <v>1</v>
      </c>
    </row>
    <row r="65" ht="15.75" customHeight="1">
      <c r="A65" s="1" t="s">
        <v>537</v>
      </c>
      <c r="B65" s="1" t="s">
        <v>538</v>
      </c>
      <c r="C65" s="1" t="s">
        <v>539</v>
      </c>
      <c r="D65" s="1" t="s">
        <v>538</v>
      </c>
      <c r="E65" s="1" t="s">
        <v>25</v>
      </c>
      <c r="F65" s="1" t="s">
        <v>26</v>
      </c>
      <c r="G65" s="1" t="s">
        <v>207</v>
      </c>
      <c r="H65" s="1" t="str">
        <f>IFERROR(__xludf.DUMMYFUNCTION("""COMPUTED_VALUE"""),"Ruijie Networks")</f>
        <v>Ruijie Networks</v>
      </c>
      <c r="I65" s="1" t="s">
        <v>207</v>
      </c>
      <c r="J65" s="3">
        <v>0.0</v>
      </c>
      <c r="K65" s="10" t="s">
        <v>540</v>
      </c>
      <c r="N65" s="1" t="s">
        <v>541</v>
      </c>
      <c r="O65" s="1" t="s">
        <v>542</v>
      </c>
      <c r="P65" s="1" t="s">
        <v>543</v>
      </c>
      <c r="Q65" s="1" t="s">
        <v>544</v>
      </c>
      <c r="R65" s="1"/>
      <c r="S65" s="7">
        <v>0.0</v>
      </c>
      <c r="T65" s="7">
        <v>0.0</v>
      </c>
      <c r="U65" s="1"/>
      <c r="V65" s="6" t="b">
        <v>1</v>
      </c>
    </row>
    <row r="66" ht="15.75" customHeight="1">
      <c r="A66" s="1" t="s">
        <v>545</v>
      </c>
      <c r="B66" s="1" t="s">
        <v>546</v>
      </c>
      <c r="C66" s="1" t="s">
        <v>547</v>
      </c>
      <c r="D66" s="1" t="s">
        <v>546</v>
      </c>
      <c r="E66" s="1" t="s">
        <v>25</v>
      </c>
      <c r="F66" s="1" t="s">
        <v>26</v>
      </c>
      <c r="G66" s="1" t="s">
        <v>207</v>
      </c>
      <c r="H66" s="1" t="str">
        <f>IFERROR(__xludf.DUMMYFUNCTION("""COMPUTED_VALUE"""),"Ruijie Networks")</f>
        <v>Ruijie Networks</v>
      </c>
      <c r="I66" s="1" t="s">
        <v>207</v>
      </c>
      <c r="J66" s="3">
        <v>0.0</v>
      </c>
      <c r="K66" s="10" t="s">
        <v>548</v>
      </c>
      <c r="N66" s="1" t="s">
        <v>549</v>
      </c>
      <c r="O66" s="1" t="s">
        <v>550</v>
      </c>
      <c r="P66" s="1" t="s">
        <v>551</v>
      </c>
      <c r="Q66" s="1" t="s">
        <v>426</v>
      </c>
      <c r="R66" s="1"/>
      <c r="S66" s="7">
        <v>0.0</v>
      </c>
      <c r="T66" s="7">
        <v>0.0</v>
      </c>
      <c r="U66" s="1"/>
      <c r="V66" s="6" t="b">
        <v>1</v>
      </c>
    </row>
    <row r="67" ht="15.75" customHeight="1">
      <c r="A67" s="1" t="s">
        <v>552</v>
      </c>
      <c r="B67" s="1" t="s">
        <v>553</v>
      </c>
      <c r="C67" s="1" t="s">
        <v>554</v>
      </c>
      <c r="D67" s="1" t="s">
        <v>553</v>
      </c>
      <c r="E67" s="1" t="s">
        <v>25</v>
      </c>
      <c r="F67" s="1" t="s">
        <v>26</v>
      </c>
      <c r="G67" s="1" t="s">
        <v>207</v>
      </c>
      <c r="H67" s="1" t="str">
        <f>IFERROR(__xludf.DUMMYFUNCTION("""COMPUTED_VALUE"""),"Ruijie Networks")</f>
        <v>Ruijie Networks</v>
      </c>
      <c r="I67" s="1" t="s">
        <v>207</v>
      </c>
      <c r="J67" s="3">
        <v>0.0</v>
      </c>
      <c r="K67" s="10" t="s">
        <v>555</v>
      </c>
      <c r="N67" s="1" t="s">
        <v>556</v>
      </c>
      <c r="O67" s="1" t="s">
        <v>557</v>
      </c>
      <c r="P67" s="1" t="s">
        <v>558</v>
      </c>
      <c r="Q67" s="1" t="s">
        <v>559</v>
      </c>
      <c r="R67" s="1"/>
      <c r="S67" s="7">
        <v>0.0</v>
      </c>
      <c r="T67" s="7">
        <v>0.0</v>
      </c>
      <c r="U67" s="1"/>
      <c r="V67" s="6" t="b">
        <v>1</v>
      </c>
    </row>
    <row r="68" ht="15.75" customHeight="1">
      <c r="A68" s="1" t="s">
        <v>560</v>
      </c>
      <c r="B68" s="1" t="s">
        <v>561</v>
      </c>
      <c r="C68" s="1" t="s">
        <v>562</v>
      </c>
      <c r="D68" s="1" t="s">
        <v>561</v>
      </c>
      <c r="E68" s="1" t="s">
        <v>25</v>
      </c>
      <c r="F68" s="1" t="s">
        <v>26</v>
      </c>
      <c r="G68" s="1" t="s">
        <v>207</v>
      </c>
      <c r="H68" s="1" t="str">
        <f>IFERROR(__xludf.DUMMYFUNCTION("""COMPUTED_VALUE"""),"Ruijie Networks")</f>
        <v>Ruijie Networks</v>
      </c>
      <c r="I68" s="1" t="s">
        <v>207</v>
      </c>
      <c r="J68" s="3">
        <v>0.0</v>
      </c>
      <c r="K68" s="10" t="s">
        <v>563</v>
      </c>
      <c r="N68" s="1" t="s">
        <v>564</v>
      </c>
      <c r="O68" s="1" t="s">
        <v>565</v>
      </c>
      <c r="P68" s="1" t="s">
        <v>566</v>
      </c>
      <c r="Q68" s="1" t="s">
        <v>567</v>
      </c>
      <c r="R68" s="1"/>
      <c r="S68" s="7">
        <v>0.0</v>
      </c>
      <c r="T68" s="7">
        <v>0.0</v>
      </c>
      <c r="U68" s="1"/>
      <c r="V68" s="6" t="b">
        <v>1</v>
      </c>
    </row>
    <row r="69" ht="15.75" customHeight="1">
      <c r="A69" s="1" t="s">
        <v>568</v>
      </c>
      <c r="B69" s="1" t="s">
        <v>569</v>
      </c>
      <c r="C69" s="1" t="s">
        <v>570</v>
      </c>
      <c r="D69" s="1" t="s">
        <v>569</v>
      </c>
      <c r="E69" s="1" t="s">
        <v>25</v>
      </c>
      <c r="F69" s="1" t="s">
        <v>26</v>
      </c>
      <c r="G69" s="1" t="s">
        <v>207</v>
      </c>
      <c r="H69" s="1" t="str">
        <f>IFERROR(__xludf.DUMMYFUNCTION("""COMPUTED_VALUE"""),"Ruijie Networks")</f>
        <v>Ruijie Networks</v>
      </c>
      <c r="I69" s="1" t="s">
        <v>207</v>
      </c>
      <c r="J69" s="3">
        <v>0.0</v>
      </c>
      <c r="K69" s="10" t="s">
        <v>571</v>
      </c>
      <c r="N69" s="1" t="s">
        <v>572</v>
      </c>
      <c r="O69" s="1" t="s">
        <v>573</v>
      </c>
      <c r="P69" s="1" t="s">
        <v>574</v>
      </c>
      <c r="Q69" s="1" t="s">
        <v>575</v>
      </c>
      <c r="R69" s="1"/>
      <c r="S69" s="7">
        <v>0.0</v>
      </c>
      <c r="T69" s="7">
        <v>0.0</v>
      </c>
      <c r="U69" s="1"/>
      <c r="V69" s="6" t="b">
        <v>1</v>
      </c>
    </row>
    <row r="70" ht="15.75" customHeight="1">
      <c r="A70" s="1" t="s">
        <v>576</v>
      </c>
      <c r="B70" s="1" t="s">
        <v>577</v>
      </c>
      <c r="C70" s="1" t="s">
        <v>578</v>
      </c>
      <c r="D70" s="1" t="s">
        <v>577</v>
      </c>
      <c r="E70" s="1" t="s">
        <v>25</v>
      </c>
      <c r="F70" s="1" t="s">
        <v>26</v>
      </c>
      <c r="G70" s="1" t="s">
        <v>207</v>
      </c>
      <c r="H70" s="1" t="str">
        <f>IFERROR(__xludf.DUMMYFUNCTION("""COMPUTED_VALUE"""),"Ruijie Networks")</f>
        <v>Ruijie Networks</v>
      </c>
      <c r="I70" s="1" t="s">
        <v>207</v>
      </c>
      <c r="J70" s="3">
        <v>0.0</v>
      </c>
      <c r="K70" s="10" t="s">
        <v>579</v>
      </c>
      <c r="N70" s="1" t="s">
        <v>580</v>
      </c>
      <c r="O70" s="1" t="s">
        <v>581</v>
      </c>
      <c r="P70" s="1" t="s">
        <v>582</v>
      </c>
      <c r="Q70" s="1" t="s">
        <v>583</v>
      </c>
      <c r="R70" s="1"/>
      <c r="S70" s="7">
        <v>0.0</v>
      </c>
      <c r="T70" s="7">
        <v>0.0</v>
      </c>
      <c r="U70" s="1"/>
      <c r="V70" s="6" t="b">
        <v>1</v>
      </c>
    </row>
    <row r="71" ht="15.75" customHeight="1">
      <c r="A71" s="1" t="s">
        <v>584</v>
      </c>
      <c r="B71" s="1" t="s">
        <v>585</v>
      </c>
      <c r="C71" s="1" t="s">
        <v>586</v>
      </c>
      <c r="D71" s="1" t="s">
        <v>585</v>
      </c>
      <c r="E71" s="1" t="s">
        <v>25</v>
      </c>
      <c r="F71" s="1" t="s">
        <v>26</v>
      </c>
      <c r="G71" s="1" t="s">
        <v>207</v>
      </c>
      <c r="H71" s="1" t="str">
        <f>IFERROR(__xludf.DUMMYFUNCTION("""COMPUTED_VALUE"""),"Ruijie Networks")</f>
        <v>Ruijie Networks</v>
      </c>
      <c r="I71" s="1" t="s">
        <v>207</v>
      </c>
      <c r="J71" s="3">
        <v>0.0</v>
      </c>
      <c r="K71" s="10" t="s">
        <v>587</v>
      </c>
      <c r="N71" s="1" t="s">
        <v>588</v>
      </c>
      <c r="O71" s="1" t="s">
        <v>589</v>
      </c>
      <c r="P71" s="1" t="s">
        <v>590</v>
      </c>
      <c r="Q71" s="1" t="s">
        <v>591</v>
      </c>
      <c r="R71" s="1"/>
      <c r="S71" s="7">
        <v>0.0</v>
      </c>
      <c r="T71" s="7">
        <v>0.0</v>
      </c>
      <c r="U71" s="1"/>
      <c r="V71" s="6" t="b">
        <v>1</v>
      </c>
    </row>
    <row r="72" ht="15.75" customHeight="1">
      <c r="A72" s="1" t="s">
        <v>592</v>
      </c>
      <c r="B72" s="1" t="s">
        <v>593</v>
      </c>
      <c r="C72" s="1" t="s">
        <v>594</v>
      </c>
      <c r="D72" s="1" t="s">
        <v>593</v>
      </c>
      <c r="E72" s="1" t="s">
        <v>25</v>
      </c>
      <c r="F72" s="1" t="s">
        <v>26</v>
      </c>
      <c r="G72" s="1" t="s">
        <v>207</v>
      </c>
      <c r="H72" s="1" t="str">
        <f>IFERROR(__xludf.DUMMYFUNCTION("""COMPUTED_VALUE"""),"Ruijie Networks")</f>
        <v>Ruijie Networks</v>
      </c>
      <c r="I72" s="1" t="s">
        <v>207</v>
      </c>
      <c r="J72" s="3">
        <v>0.0</v>
      </c>
      <c r="K72" s="10" t="s">
        <v>595</v>
      </c>
      <c r="N72" s="1" t="s">
        <v>596</v>
      </c>
      <c r="O72" s="1" t="s">
        <v>597</v>
      </c>
      <c r="P72" s="1" t="s">
        <v>598</v>
      </c>
      <c r="Q72" s="1" t="s">
        <v>599</v>
      </c>
      <c r="R72" s="1"/>
      <c r="S72" s="7">
        <v>0.0</v>
      </c>
      <c r="T72" s="7">
        <v>0.0</v>
      </c>
      <c r="U72" s="1"/>
      <c r="V72" s="6" t="b">
        <v>1</v>
      </c>
    </row>
    <row r="73" ht="15.75" customHeight="1">
      <c r="A73" s="1" t="s">
        <v>600</v>
      </c>
      <c r="B73" s="1" t="s">
        <v>601</v>
      </c>
      <c r="C73" s="1" t="s">
        <v>602</v>
      </c>
      <c r="D73" s="1" t="s">
        <v>601</v>
      </c>
      <c r="E73" s="1" t="s">
        <v>25</v>
      </c>
      <c r="F73" s="1" t="s">
        <v>26</v>
      </c>
      <c r="G73" s="1" t="s">
        <v>207</v>
      </c>
      <c r="H73" s="1" t="str">
        <f>IFERROR(__xludf.DUMMYFUNCTION("""COMPUTED_VALUE"""),"Ruijie Networks")</f>
        <v>Ruijie Networks</v>
      </c>
      <c r="I73" s="1" t="s">
        <v>207</v>
      </c>
      <c r="J73" s="3">
        <v>0.0</v>
      </c>
      <c r="K73" s="10" t="s">
        <v>603</v>
      </c>
      <c r="N73" s="1" t="s">
        <v>604</v>
      </c>
      <c r="O73" s="1" t="s">
        <v>605</v>
      </c>
      <c r="P73" s="1" t="s">
        <v>606</v>
      </c>
      <c r="Q73" s="1" t="s">
        <v>607</v>
      </c>
      <c r="R73" s="1"/>
      <c r="S73" s="7">
        <v>0.0</v>
      </c>
      <c r="T73" s="7">
        <v>0.0</v>
      </c>
      <c r="U73" s="1"/>
      <c r="V73" s="6" t="b">
        <v>1</v>
      </c>
    </row>
    <row r="74" ht="15.75" customHeight="1">
      <c r="A74" s="1" t="s">
        <v>608</v>
      </c>
      <c r="B74" s="1" t="s">
        <v>609</v>
      </c>
      <c r="C74" s="1" t="s">
        <v>610</v>
      </c>
      <c r="D74" s="1" t="s">
        <v>609</v>
      </c>
      <c r="E74" s="1" t="s">
        <v>25</v>
      </c>
      <c r="F74" s="1" t="s">
        <v>26</v>
      </c>
      <c r="G74" s="1" t="s">
        <v>207</v>
      </c>
      <c r="H74" s="1" t="str">
        <f>IFERROR(__xludf.DUMMYFUNCTION("""COMPUTED_VALUE"""),"Ruijie Networks")</f>
        <v>Ruijie Networks</v>
      </c>
      <c r="I74" s="1" t="s">
        <v>207</v>
      </c>
      <c r="J74" s="3">
        <v>0.0</v>
      </c>
      <c r="K74" s="10" t="s">
        <v>611</v>
      </c>
      <c r="N74" s="1" t="s">
        <v>612</v>
      </c>
      <c r="O74" s="1" t="s">
        <v>613</v>
      </c>
      <c r="P74" s="1" t="s">
        <v>614</v>
      </c>
      <c r="Q74" s="1" t="s">
        <v>615</v>
      </c>
      <c r="R74" s="1"/>
      <c r="S74" s="7">
        <v>0.0</v>
      </c>
      <c r="T74" s="7">
        <v>0.0</v>
      </c>
      <c r="U74" s="1"/>
      <c r="V74" s="6" t="b">
        <v>1</v>
      </c>
    </row>
    <row r="75" ht="15.75" customHeight="1">
      <c r="A75" s="1" t="s">
        <v>616</v>
      </c>
      <c r="B75" s="1" t="s">
        <v>617</v>
      </c>
      <c r="C75" s="1" t="s">
        <v>618</v>
      </c>
      <c r="D75" s="1" t="s">
        <v>617</v>
      </c>
      <c r="E75" s="1" t="s">
        <v>25</v>
      </c>
      <c r="F75" s="1" t="s">
        <v>26</v>
      </c>
      <c r="G75" s="1" t="s">
        <v>207</v>
      </c>
      <c r="H75" s="1" t="str">
        <f>IFERROR(__xludf.DUMMYFUNCTION("""COMPUTED_VALUE"""),"Ruijie Networks")</f>
        <v>Ruijie Networks</v>
      </c>
      <c r="I75" s="1" t="s">
        <v>207</v>
      </c>
      <c r="J75" s="3">
        <v>0.0</v>
      </c>
      <c r="K75" s="10" t="s">
        <v>619</v>
      </c>
      <c r="N75" s="1" t="s">
        <v>620</v>
      </c>
      <c r="O75" s="1" t="s">
        <v>621</v>
      </c>
      <c r="P75" s="1" t="s">
        <v>622</v>
      </c>
      <c r="Q75" s="1" t="s">
        <v>623</v>
      </c>
      <c r="R75" s="1"/>
      <c r="S75" s="7">
        <v>0.0</v>
      </c>
      <c r="T75" s="7">
        <v>0.0</v>
      </c>
      <c r="U75" s="1"/>
      <c r="V75" s="6" t="b">
        <v>1</v>
      </c>
    </row>
    <row r="76" ht="15.75" customHeight="1">
      <c r="A76" s="1" t="s">
        <v>624</v>
      </c>
      <c r="B76" s="1" t="s">
        <v>625</v>
      </c>
      <c r="C76" s="1" t="s">
        <v>626</v>
      </c>
      <c r="D76" s="1" t="s">
        <v>625</v>
      </c>
      <c r="E76" s="1" t="s">
        <v>25</v>
      </c>
      <c r="F76" s="1" t="s">
        <v>26</v>
      </c>
      <c r="G76" s="1" t="s">
        <v>207</v>
      </c>
      <c r="H76" s="1" t="str">
        <f>IFERROR(__xludf.DUMMYFUNCTION("""COMPUTED_VALUE"""),"Ruijie Networks")</f>
        <v>Ruijie Networks</v>
      </c>
      <c r="I76" s="1" t="s">
        <v>207</v>
      </c>
      <c r="J76" s="3">
        <v>0.0</v>
      </c>
      <c r="K76" s="10" t="s">
        <v>627</v>
      </c>
      <c r="N76" s="1" t="s">
        <v>628</v>
      </c>
      <c r="O76" s="1" t="s">
        <v>629</v>
      </c>
      <c r="P76" s="1" t="s">
        <v>630</v>
      </c>
      <c r="Q76" s="1" t="s">
        <v>631</v>
      </c>
      <c r="R76" s="1"/>
      <c r="S76" s="7">
        <v>0.0</v>
      </c>
      <c r="T76" s="7">
        <v>0.0</v>
      </c>
      <c r="U76" s="1"/>
      <c r="V76" s="6" t="b">
        <v>1</v>
      </c>
    </row>
    <row r="77" ht="15.75" customHeight="1">
      <c r="A77" s="1" t="s">
        <v>632</v>
      </c>
      <c r="B77" s="1" t="s">
        <v>633</v>
      </c>
      <c r="C77" s="1" t="s">
        <v>634</v>
      </c>
      <c r="D77" s="1" t="s">
        <v>633</v>
      </c>
      <c r="E77" s="1" t="s">
        <v>25</v>
      </c>
      <c r="F77" s="1" t="s">
        <v>26</v>
      </c>
      <c r="G77" s="1" t="s">
        <v>207</v>
      </c>
      <c r="H77" s="1" t="str">
        <f>IFERROR(__xludf.DUMMYFUNCTION("""COMPUTED_VALUE"""),"Ruijie Networks")</f>
        <v>Ruijie Networks</v>
      </c>
      <c r="I77" s="1" t="s">
        <v>207</v>
      </c>
      <c r="J77" s="3">
        <v>0.0</v>
      </c>
      <c r="K77" s="10" t="s">
        <v>635</v>
      </c>
      <c r="N77" s="1" t="s">
        <v>636</v>
      </c>
      <c r="O77" s="1" t="s">
        <v>637</v>
      </c>
      <c r="P77" s="1" t="s">
        <v>638</v>
      </c>
      <c r="Q77" s="1" t="s">
        <v>639</v>
      </c>
      <c r="R77" s="1"/>
      <c r="S77" s="7">
        <v>0.0</v>
      </c>
      <c r="T77" s="7">
        <v>0.0</v>
      </c>
      <c r="U77" s="1"/>
      <c r="V77" s="6" t="b">
        <v>1</v>
      </c>
    </row>
    <row r="78" ht="15.75" customHeight="1">
      <c r="A78" s="1" t="s">
        <v>640</v>
      </c>
      <c r="B78" s="1" t="s">
        <v>641</v>
      </c>
      <c r="C78" s="1" t="s">
        <v>642</v>
      </c>
      <c r="D78" s="1" t="s">
        <v>641</v>
      </c>
      <c r="E78" s="1" t="s">
        <v>25</v>
      </c>
      <c r="F78" s="1" t="s">
        <v>26</v>
      </c>
      <c r="G78" s="1" t="s">
        <v>207</v>
      </c>
      <c r="H78" s="1" t="str">
        <f>IFERROR(__xludf.DUMMYFUNCTION("""COMPUTED_VALUE"""),"Ruijie Networks")</f>
        <v>Ruijie Networks</v>
      </c>
      <c r="I78" s="1" t="s">
        <v>207</v>
      </c>
      <c r="J78" s="3">
        <v>0.0</v>
      </c>
      <c r="K78" s="10" t="s">
        <v>643</v>
      </c>
      <c r="N78" s="1" t="s">
        <v>644</v>
      </c>
      <c r="O78" s="1" t="s">
        <v>645</v>
      </c>
      <c r="P78" s="1" t="s">
        <v>646</v>
      </c>
      <c r="Q78" s="1" t="s">
        <v>647</v>
      </c>
      <c r="R78" s="1"/>
      <c r="S78" s="7">
        <v>0.0</v>
      </c>
      <c r="T78" s="7">
        <v>0.0</v>
      </c>
      <c r="U78" s="1"/>
      <c r="V78" s="6" t="b">
        <v>1</v>
      </c>
    </row>
    <row r="79" ht="15.75" customHeight="1">
      <c r="A79" s="1" t="s">
        <v>648</v>
      </c>
      <c r="B79" s="1" t="s">
        <v>649</v>
      </c>
      <c r="C79" s="1" t="s">
        <v>650</v>
      </c>
      <c r="D79" s="1" t="s">
        <v>649</v>
      </c>
      <c r="E79" s="1" t="s">
        <v>25</v>
      </c>
      <c r="F79" s="1" t="s">
        <v>26</v>
      </c>
      <c r="G79" s="1" t="s">
        <v>207</v>
      </c>
      <c r="H79" s="1" t="str">
        <f>IFERROR(__xludf.DUMMYFUNCTION("""COMPUTED_VALUE"""),"Ruijie Networks")</f>
        <v>Ruijie Networks</v>
      </c>
      <c r="I79" s="1" t="s">
        <v>207</v>
      </c>
      <c r="J79" s="3">
        <v>0.0</v>
      </c>
      <c r="K79" s="10" t="s">
        <v>651</v>
      </c>
      <c r="N79" s="1" t="s">
        <v>652</v>
      </c>
      <c r="O79" s="1" t="s">
        <v>653</v>
      </c>
      <c r="P79" s="1" t="s">
        <v>654</v>
      </c>
      <c r="Q79" s="1" t="s">
        <v>655</v>
      </c>
      <c r="R79" s="1"/>
      <c r="S79" s="7">
        <v>0.0</v>
      </c>
      <c r="T79" s="7">
        <v>0.0</v>
      </c>
      <c r="U79" s="1"/>
      <c r="V79" s="6" t="b">
        <v>1</v>
      </c>
    </row>
    <row r="80" ht="15.75" customHeight="1">
      <c r="A80" s="1" t="s">
        <v>656</v>
      </c>
      <c r="B80" s="1" t="s">
        <v>657</v>
      </c>
      <c r="C80" s="1" t="s">
        <v>658</v>
      </c>
      <c r="D80" s="1" t="s">
        <v>657</v>
      </c>
      <c r="E80" s="1" t="s">
        <v>25</v>
      </c>
      <c r="F80" s="1" t="s">
        <v>26</v>
      </c>
      <c r="G80" s="1" t="s">
        <v>207</v>
      </c>
      <c r="H80" s="1" t="str">
        <f>IFERROR(__xludf.DUMMYFUNCTION("""COMPUTED_VALUE"""),"Ruijie Networks")</f>
        <v>Ruijie Networks</v>
      </c>
      <c r="I80" s="1" t="s">
        <v>207</v>
      </c>
      <c r="J80" s="3">
        <v>0.0</v>
      </c>
      <c r="K80" s="10" t="s">
        <v>659</v>
      </c>
      <c r="N80" s="1" t="s">
        <v>660</v>
      </c>
      <c r="O80" s="1" t="s">
        <v>661</v>
      </c>
      <c r="P80" s="1" t="s">
        <v>662</v>
      </c>
      <c r="Q80" s="1" t="s">
        <v>663</v>
      </c>
      <c r="R80" s="1"/>
      <c r="S80" s="7">
        <v>0.0</v>
      </c>
      <c r="T80" s="7">
        <v>0.0</v>
      </c>
      <c r="U80" s="1"/>
      <c r="V80" s="6" t="b">
        <v>0</v>
      </c>
    </row>
    <row r="81" ht="15.75" customHeight="1">
      <c r="A81" s="1" t="s">
        <v>664</v>
      </c>
      <c r="B81" s="1" t="s">
        <v>665</v>
      </c>
      <c r="C81" s="1" t="s">
        <v>666</v>
      </c>
      <c r="D81" s="1" t="s">
        <v>665</v>
      </c>
      <c r="E81" s="1" t="s">
        <v>25</v>
      </c>
      <c r="F81" s="1" t="s">
        <v>26</v>
      </c>
      <c r="G81" s="1" t="s">
        <v>207</v>
      </c>
      <c r="H81" s="1" t="str">
        <f>IFERROR(__xludf.DUMMYFUNCTION("""COMPUTED_VALUE"""),"Ruijie Networks")</f>
        <v>Ruijie Networks</v>
      </c>
      <c r="I81" s="1" t="s">
        <v>207</v>
      </c>
      <c r="J81" s="3">
        <v>0.0</v>
      </c>
      <c r="K81" s="10" t="s">
        <v>667</v>
      </c>
      <c r="N81" s="1" t="s">
        <v>668</v>
      </c>
      <c r="O81" s="1" t="s">
        <v>669</v>
      </c>
      <c r="P81" s="1" t="s">
        <v>670</v>
      </c>
      <c r="Q81" s="1" t="s">
        <v>671</v>
      </c>
      <c r="R81" s="1"/>
      <c r="S81" s="7">
        <v>0.0</v>
      </c>
      <c r="T81" s="7">
        <v>0.0</v>
      </c>
      <c r="U81" s="1"/>
      <c r="V81" s="6" t="b">
        <v>1</v>
      </c>
    </row>
    <row r="82" ht="15.75" customHeight="1">
      <c r="A82" s="1" t="s">
        <v>672</v>
      </c>
      <c r="B82" s="1" t="s">
        <v>673</v>
      </c>
      <c r="C82" s="1" t="s">
        <v>674</v>
      </c>
      <c r="D82" s="1" t="s">
        <v>673</v>
      </c>
      <c r="E82" s="1" t="s">
        <v>25</v>
      </c>
      <c r="F82" s="1" t="s">
        <v>26</v>
      </c>
      <c r="G82" s="1" t="s">
        <v>207</v>
      </c>
      <c r="H82" s="1" t="str">
        <f>IFERROR(__xludf.DUMMYFUNCTION("""COMPUTED_VALUE"""),"Ruijie Networks")</f>
        <v>Ruijie Networks</v>
      </c>
      <c r="I82" s="1" t="s">
        <v>207</v>
      </c>
      <c r="J82" s="3">
        <v>0.0</v>
      </c>
      <c r="K82" s="10" t="s">
        <v>675</v>
      </c>
      <c r="N82" s="1" t="s">
        <v>676</v>
      </c>
      <c r="O82" s="1" t="s">
        <v>677</v>
      </c>
      <c r="P82" s="1" t="s">
        <v>678</v>
      </c>
      <c r="Q82" s="1" t="s">
        <v>679</v>
      </c>
      <c r="R82" s="1"/>
      <c r="S82" s="7">
        <v>0.0</v>
      </c>
      <c r="T82" s="7">
        <v>0.0</v>
      </c>
      <c r="U82" s="1"/>
      <c r="V82" s="6" t="b">
        <v>1</v>
      </c>
    </row>
    <row r="83" ht="15.75" customHeight="1">
      <c r="A83" s="1" t="s">
        <v>680</v>
      </c>
      <c r="B83" s="1" t="s">
        <v>681</v>
      </c>
      <c r="C83" s="1" t="s">
        <v>682</v>
      </c>
      <c r="D83" s="1" t="s">
        <v>681</v>
      </c>
      <c r="E83" s="1" t="s">
        <v>25</v>
      </c>
      <c r="F83" s="1" t="s">
        <v>26</v>
      </c>
      <c r="G83" s="1" t="s">
        <v>207</v>
      </c>
      <c r="H83" s="1" t="str">
        <f>IFERROR(__xludf.DUMMYFUNCTION("""COMPUTED_VALUE"""),"Ruijie Networks")</f>
        <v>Ruijie Networks</v>
      </c>
      <c r="I83" s="1" t="s">
        <v>207</v>
      </c>
      <c r="J83" s="3">
        <v>0.0</v>
      </c>
      <c r="K83" s="10" t="s">
        <v>683</v>
      </c>
      <c r="N83" s="1" t="s">
        <v>684</v>
      </c>
      <c r="O83" s="1" t="s">
        <v>685</v>
      </c>
      <c r="P83" s="1" t="s">
        <v>686</v>
      </c>
      <c r="Q83" s="1" t="s">
        <v>687</v>
      </c>
      <c r="R83" s="1"/>
      <c r="S83" s="7">
        <v>0.0</v>
      </c>
      <c r="T83" s="7">
        <v>0.0</v>
      </c>
      <c r="U83" s="1"/>
      <c r="V83" s="6" t="b">
        <v>1</v>
      </c>
    </row>
    <row r="84" ht="15.75" customHeight="1">
      <c r="A84" s="1" t="s">
        <v>688</v>
      </c>
      <c r="B84" s="1" t="s">
        <v>689</v>
      </c>
      <c r="C84" s="1" t="s">
        <v>690</v>
      </c>
      <c r="D84" s="1" t="s">
        <v>689</v>
      </c>
      <c r="E84" s="1" t="s">
        <v>25</v>
      </c>
      <c r="F84" s="1" t="s">
        <v>26</v>
      </c>
      <c r="G84" s="1" t="s">
        <v>207</v>
      </c>
      <c r="H84" s="1" t="str">
        <f>IFERROR(__xludf.DUMMYFUNCTION("""COMPUTED_VALUE"""),"Ruijie Networks")</f>
        <v>Ruijie Networks</v>
      </c>
      <c r="I84" s="1" t="s">
        <v>207</v>
      </c>
      <c r="J84" s="3">
        <v>890.0</v>
      </c>
      <c r="K84" s="10" t="s">
        <v>691</v>
      </c>
      <c r="N84" s="1" t="s">
        <v>692</v>
      </c>
      <c r="O84" s="1" t="s">
        <v>693</v>
      </c>
      <c r="P84" s="1" t="s">
        <v>694</v>
      </c>
      <c r="Q84" s="1" t="s">
        <v>695</v>
      </c>
      <c r="R84" s="1" t="s">
        <v>696</v>
      </c>
      <c r="S84" s="7">
        <v>0.0</v>
      </c>
      <c r="T84" s="7">
        <v>0.0</v>
      </c>
      <c r="U84" s="1"/>
      <c r="V84" s="6" t="b">
        <v>1</v>
      </c>
    </row>
    <row r="85" ht="15.75" customHeight="1">
      <c r="A85" s="1"/>
      <c r="B85" s="1"/>
      <c r="C85" s="1"/>
      <c r="D85" s="1"/>
      <c r="E85" s="1"/>
      <c r="F85" s="1"/>
      <c r="G85" s="1"/>
      <c r="H85" s="1" t="str">
        <f>IFERROR(__xludf.DUMMYFUNCTION("""COMPUTED_VALUE"""),"")</f>
        <v/>
      </c>
      <c r="I85" s="1" t="s">
        <v>170</v>
      </c>
      <c r="J85" s="3"/>
      <c r="K85" s="12"/>
      <c r="L85" s="12"/>
      <c r="M85" s="12"/>
      <c r="N85" s="1"/>
      <c r="O85" s="1"/>
      <c r="P85" s="1"/>
      <c r="Q85" s="1"/>
      <c r="R85" s="1"/>
      <c r="S85" s="7"/>
      <c r="T85" s="7"/>
      <c r="U85" s="1"/>
      <c r="V85" s="6"/>
    </row>
    <row r="86" ht="15.75" customHeight="1">
      <c r="A86" s="1" t="s">
        <v>697</v>
      </c>
      <c r="B86" s="1" t="s">
        <v>698</v>
      </c>
      <c r="C86" s="1" t="s">
        <v>699</v>
      </c>
      <c r="D86" s="1" t="s">
        <v>698</v>
      </c>
      <c r="E86" s="1" t="s">
        <v>25</v>
      </c>
      <c r="F86" s="1" t="s">
        <v>26</v>
      </c>
      <c r="G86" s="2" t="s">
        <v>700</v>
      </c>
      <c r="H86" s="2" t="str">
        <f>IFERROR(__xludf.DUMMYFUNCTION("""COMPUTED_VALUE"""),"Ruijie Networks")</f>
        <v>Ruijie Networks</v>
      </c>
      <c r="I86" s="2" t="s">
        <v>700</v>
      </c>
      <c r="J86" s="3">
        <v>0.0</v>
      </c>
      <c r="K86" s="10" t="s">
        <v>701</v>
      </c>
      <c r="L86" s="10" t="s">
        <v>702</v>
      </c>
      <c r="M86" s="10" t="s">
        <v>703</v>
      </c>
      <c r="N86" s="1" t="s">
        <v>704</v>
      </c>
      <c r="O86" s="1" t="s">
        <v>705</v>
      </c>
      <c r="P86" s="1" t="s">
        <v>706</v>
      </c>
      <c r="Q86" s="1" t="s">
        <v>707</v>
      </c>
      <c r="R86" s="1"/>
      <c r="S86" s="7">
        <v>0.0</v>
      </c>
      <c r="T86" s="7">
        <v>0.0</v>
      </c>
      <c r="U86" s="1"/>
      <c r="V86" s="6" t="b">
        <v>1</v>
      </c>
    </row>
    <row r="87" ht="15.75" customHeight="1">
      <c r="A87" s="1" t="s">
        <v>708</v>
      </c>
      <c r="B87" s="1" t="s">
        <v>709</v>
      </c>
      <c r="C87" s="1" t="s">
        <v>710</v>
      </c>
      <c r="D87" s="1" t="s">
        <v>709</v>
      </c>
      <c r="E87" s="1" t="s">
        <v>25</v>
      </c>
      <c r="F87" s="1" t="s">
        <v>26</v>
      </c>
      <c r="G87" s="2" t="s">
        <v>700</v>
      </c>
      <c r="H87" s="2" t="str">
        <f>IFERROR(__xludf.DUMMYFUNCTION("""COMPUTED_VALUE"""),"Ruijie Networks")</f>
        <v>Ruijie Networks</v>
      </c>
      <c r="I87" s="2" t="s">
        <v>700</v>
      </c>
      <c r="J87" s="3">
        <v>0.0</v>
      </c>
      <c r="K87" s="10" t="s">
        <v>711</v>
      </c>
      <c r="L87" s="10" t="s">
        <v>712</v>
      </c>
      <c r="M87" s="1"/>
      <c r="N87" s="1" t="s">
        <v>713</v>
      </c>
      <c r="O87" s="1" t="s">
        <v>714</v>
      </c>
      <c r="P87" s="1" t="s">
        <v>715</v>
      </c>
      <c r="Q87" s="1" t="s">
        <v>716</v>
      </c>
      <c r="R87" s="1"/>
      <c r="S87" s="7">
        <v>0.0</v>
      </c>
      <c r="T87" s="7">
        <v>0.0</v>
      </c>
      <c r="U87" s="1"/>
      <c r="V87" s="6" t="b">
        <v>1</v>
      </c>
    </row>
    <row r="88" ht="15.75" customHeight="1">
      <c r="A88" s="1" t="s">
        <v>717</v>
      </c>
      <c r="B88" s="1" t="s">
        <v>718</v>
      </c>
      <c r="C88" s="1" t="s">
        <v>719</v>
      </c>
      <c r="D88" s="1" t="s">
        <v>718</v>
      </c>
      <c r="E88" s="1" t="s">
        <v>25</v>
      </c>
      <c r="F88" s="1" t="s">
        <v>26</v>
      </c>
      <c r="G88" s="2" t="s">
        <v>700</v>
      </c>
      <c r="H88" s="2" t="str">
        <f>IFERROR(__xludf.DUMMYFUNCTION("""COMPUTED_VALUE"""),"Ruijie Networks")</f>
        <v>Ruijie Networks</v>
      </c>
      <c r="I88" s="2" t="s">
        <v>700</v>
      </c>
      <c r="J88" s="3">
        <v>0.0</v>
      </c>
      <c r="K88" s="10" t="s">
        <v>720</v>
      </c>
      <c r="L88" s="10" t="s">
        <v>721</v>
      </c>
      <c r="M88" s="10" t="s">
        <v>722</v>
      </c>
      <c r="N88" s="1" t="s">
        <v>723</v>
      </c>
      <c r="O88" s="1" t="s">
        <v>724</v>
      </c>
      <c r="P88" s="1" t="s">
        <v>725</v>
      </c>
      <c r="Q88" s="1" t="s">
        <v>716</v>
      </c>
      <c r="R88" s="1"/>
      <c r="S88" s="7">
        <v>0.0</v>
      </c>
      <c r="T88" s="7">
        <v>0.0</v>
      </c>
      <c r="U88" s="1"/>
      <c r="V88" s="6" t="b">
        <v>1</v>
      </c>
    </row>
    <row r="89" ht="15.75" customHeight="1">
      <c r="A89" s="1"/>
      <c r="B89" s="1"/>
      <c r="C89" s="1"/>
      <c r="D89" s="1"/>
      <c r="E89" s="1"/>
      <c r="F89" s="1"/>
      <c r="G89" s="1"/>
      <c r="H89" s="1" t="str">
        <f>IFERROR(__xludf.DUMMYFUNCTION("""COMPUTED_VALUE"""),"")</f>
        <v/>
      </c>
      <c r="I89" s="1" t="s">
        <v>170</v>
      </c>
      <c r="J89" s="3"/>
      <c r="K89" s="10"/>
      <c r="L89" s="10"/>
      <c r="M89" s="10"/>
      <c r="N89" s="1"/>
      <c r="O89" s="1"/>
      <c r="P89" s="1"/>
      <c r="Q89" s="1"/>
      <c r="R89" s="1"/>
      <c r="S89" s="7"/>
      <c r="T89" s="7"/>
      <c r="U89" s="1"/>
      <c r="V89" s="6"/>
    </row>
    <row r="90" ht="15.75" customHeight="1">
      <c r="A90" s="1" t="s">
        <v>726</v>
      </c>
      <c r="B90" s="1" t="s">
        <v>727</v>
      </c>
      <c r="C90" s="1" t="s">
        <v>728</v>
      </c>
      <c r="D90" s="1" t="s">
        <v>727</v>
      </c>
      <c r="E90" s="1" t="s">
        <v>729</v>
      </c>
      <c r="F90" s="1" t="s">
        <v>729</v>
      </c>
      <c r="G90" s="2" t="s">
        <v>27</v>
      </c>
      <c r="H90" s="2" t="str">
        <f>IFERROR(__xludf.DUMMYFUNCTION("""COMPUTED_VALUE"""),"Reyee Network")</f>
        <v>Reyee Network</v>
      </c>
      <c r="I90" s="2" t="s">
        <v>27</v>
      </c>
      <c r="J90" s="3">
        <v>0.0</v>
      </c>
      <c r="K90" s="4" t="s">
        <v>730</v>
      </c>
      <c r="L90" s="4" t="s">
        <v>731</v>
      </c>
      <c r="M90" s="4" t="s">
        <v>732</v>
      </c>
      <c r="N90" s="1" t="s">
        <v>733</v>
      </c>
      <c r="O90" s="1" t="s">
        <v>734</v>
      </c>
      <c r="P90" s="1" t="s">
        <v>735</v>
      </c>
      <c r="Q90" s="1" t="s">
        <v>736</v>
      </c>
      <c r="R90" s="1"/>
      <c r="S90" s="7">
        <v>0.0</v>
      </c>
      <c r="T90" s="7">
        <v>0.0</v>
      </c>
      <c r="U90" s="1"/>
      <c r="V90" s="6" t="b">
        <v>1</v>
      </c>
      <c r="W90" s="1"/>
    </row>
    <row r="91" ht="15.75" customHeight="1">
      <c r="A91" s="1" t="s">
        <v>737</v>
      </c>
      <c r="B91" s="1" t="s">
        <v>738</v>
      </c>
      <c r="C91" s="1" t="s">
        <v>739</v>
      </c>
      <c r="D91" s="1" t="s">
        <v>738</v>
      </c>
      <c r="E91" s="1" t="s">
        <v>729</v>
      </c>
      <c r="F91" s="1" t="s">
        <v>729</v>
      </c>
      <c r="G91" s="2" t="s">
        <v>27</v>
      </c>
      <c r="H91" s="2" t="str">
        <f>IFERROR(__xludf.DUMMYFUNCTION("""COMPUTED_VALUE"""),"Reyee Network")</f>
        <v>Reyee Network</v>
      </c>
      <c r="I91" s="2" t="s">
        <v>27</v>
      </c>
      <c r="J91" s="3">
        <v>4390.0</v>
      </c>
      <c r="K91" s="4" t="s">
        <v>740</v>
      </c>
      <c r="L91" s="4" t="s">
        <v>741</v>
      </c>
      <c r="M91" s="4" t="s">
        <v>742</v>
      </c>
      <c r="N91" s="1" t="s">
        <v>743</v>
      </c>
      <c r="O91" s="1" t="s">
        <v>744</v>
      </c>
      <c r="P91" s="1" t="s">
        <v>745</v>
      </c>
      <c r="Q91" s="1" t="s">
        <v>746</v>
      </c>
      <c r="R91" s="1" t="s">
        <v>35</v>
      </c>
      <c r="S91" s="7">
        <v>0.0</v>
      </c>
      <c r="T91" s="7">
        <v>0.0</v>
      </c>
      <c r="U91" s="1"/>
      <c r="V91" s="6" t="b">
        <v>1</v>
      </c>
      <c r="W91" s="1"/>
    </row>
    <row r="92" ht="15.75" customHeight="1">
      <c r="A92" s="1" t="s">
        <v>747</v>
      </c>
      <c r="B92" s="1" t="s">
        <v>748</v>
      </c>
      <c r="C92" s="1" t="s">
        <v>749</v>
      </c>
      <c r="D92" s="1" t="s">
        <v>748</v>
      </c>
      <c r="E92" s="1" t="s">
        <v>729</v>
      </c>
      <c r="F92" s="1" t="s">
        <v>729</v>
      </c>
      <c r="G92" s="2" t="s">
        <v>27</v>
      </c>
      <c r="H92" s="2" t="str">
        <f>IFERROR(__xludf.DUMMYFUNCTION("""COMPUTED_VALUE"""),"Reyee Network")</f>
        <v>Reyee Network</v>
      </c>
      <c r="I92" s="2" t="s">
        <v>27</v>
      </c>
      <c r="J92" s="3">
        <v>3390.0</v>
      </c>
      <c r="K92" s="4" t="s">
        <v>750</v>
      </c>
      <c r="L92" s="4" t="s">
        <v>751</v>
      </c>
      <c r="M92" s="4" t="s">
        <v>752</v>
      </c>
      <c r="N92" s="1" t="s">
        <v>753</v>
      </c>
      <c r="O92" s="1" t="s">
        <v>754</v>
      </c>
      <c r="P92" s="1" t="s">
        <v>755</v>
      </c>
      <c r="Q92" s="1" t="s">
        <v>756</v>
      </c>
      <c r="R92" s="1" t="s">
        <v>35</v>
      </c>
      <c r="S92" s="7">
        <v>0.0</v>
      </c>
      <c r="T92" s="7">
        <v>0.0</v>
      </c>
      <c r="U92" s="1"/>
      <c r="V92" s="6" t="b">
        <v>1</v>
      </c>
      <c r="W92" s="1"/>
    </row>
    <row r="93" ht="15.75" customHeight="1">
      <c r="A93" s="1" t="s">
        <v>757</v>
      </c>
      <c r="B93" s="1" t="s">
        <v>758</v>
      </c>
      <c r="C93" s="1" t="s">
        <v>759</v>
      </c>
      <c r="D93" s="1" t="s">
        <v>758</v>
      </c>
      <c r="E93" s="1" t="s">
        <v>729</v>
      </c>
      <c r="F93" s="1" t="s">
        <v>729</v>
      </c>
      <c r="G93" s="2" t="s">
        <v>27</v>
      </c>
      <c r="H93" s="2" t="str">
        <f>IFERROR(__xludf.DUMMYFUNCTION("""COMPUTED_VALUE"""),"Reyee Network")</f>
        <v>Reyee Network</v>
      </c>
      <c r="I93" s="2" t="s">
        <v>27</v>
      </c>
      <c r="J93" s="3">
        <v>4450.0</v>
      </c>
      <c r="K93" s="4" t="s">
        <v>760</v>
      </c>
      <c r="L93" s="4" t="s">
        <v>761</v>
      </c>
      <c r="M93" s="4" t="s">
        <v>762</v>
      </c>
      <c r="N93" s="1" t="s">
        <v>763</v>
      </c>
      <c r="O93" s="1" t="s">
        <v>764</v>
      </c>
      <c r="P93" s="1" t="s">
        <v>765</v>
      </c>
      <c r="Q93" s="1" t="s">
        <v>766</v>
      </c>
      <c r="R93" s="1" t="s">
        <v>35</v>
      </c>
      <c r="S93" s="7">
        <v>0.0</v>
      </c>
      <c r="T93" s="7">
        <v>0.0</v>
      </c>
      <c r="U93" s="1"/>
      <c r="V93" s="6" t="b">
        <v>1</v>
      </c>
      <c r="W93" s="1"/>
    </row>
    <row r="94" ht="15.75" customHeight="1">
      <c r="A94" s="1" t="s">
        <v>767</v>
      </c>
      <c r="B94" s="1" t="s">
        <v>768</v>
      </c>
      <c r="C94" s="1" t="s">
        <v>769</v>
      </c>
      <c r="D94" s="1" t="s">
        <v>768</v>
      </c>
      <c r="E94" s="1" t="s">
        <v>729</v>
      </c>
      <c r="F94" s="1" t="s">
        <v>729</v>
      </c>
      <c r="G94" s="2" t="s">
        <v>27</v>
      </c>
      <c r="H94" s="2" t="str">
        <f>IFERROR(__xludf.DUMMYFUNCTION("""COMPUTED_VALUE"""),"Reyee Network")</f>
        <v>Reyee Network</v>
      </c>
      <c r="I94" s="2" t="s">
        <v>27</v>
      </c>
      <c r="J94" s="3">
        <v>7800.0</v>
      </c>
      <c r="K94" s="4" t="s">
        <v>770</v>
      </c>
      <c r="L94" s="4" t="s">
        <v>771</v>
      </c>
      <c r="M94" s="4" t="s">
        <v>772</v>
      </c>
      <c r="N94" s="1" t="s">
        <v>773</v>
      </c>
      <c r="O94" s="5" t="s">
        <v>774</v>
      </c>
      <c r="P94" s="1" t="s">
        <v>775</v>
      </c>
      <c r="Q94" s="1" t="s">
        <v>776</v>
      </c>
      <c r="R94" s="1"/>
      <c r="S94" s="7">
        <v>0.0</v>
      </c>
      <c r="T94" s="7">
        <v>0.0</v>
      </c>
      <c r="U94" s="1"/>
      <c r="V94" s="6" t="b">
        <v>1</v>
      </c>
      <c r="W94" s="1"/>
    </row>
    <row r="95" ht="15.75" customHeight="1">
      <c r="A95" s="1" t="s">
        <v>777</v>
      </c>
      <c r="B95" s="1" t="s">
        <v>778</v>
      </c>
      <c r="C95" s="1" t="s">
        <v>779</v>
      </c>
      <c r="D95" s="1" t="s">
        <v>778</v>
      </c>
      <c r="E95" s="1" t="s">
        <v>729</v>
      </c>
      <c r="F95" s="1" t="s">
        <v>729</v>
      </c>
      <c r="G95" s="2" t="s">
        <v>27</v>
      </c>
      <c r="H95" s="2" t="str">
        <f>IFERROR(__xludf.DUMMYFUNCTION("""COMPUTED_VALUE"""),"Reyee Network")</f>
        <v>Reyee Network</v>
      </c>
      <c r="I95" s="2" t="s">
        <v>27</v>
      </c>
      <c r="J95" s="3">
        <v>12900.0</v>
      </c>
      <c r="K95" s="4" t="s">
        <v>780</v>
      </c>
      <c r="L95" s="4" t="s">
        <v>781</v>
      </c>
      <c r="M95" s="4" t="s">
        <v>782</v>
      </c>
      <c r="N95" s="1" t="s">
        <v>783</v>
      </c>
      <c r="O95" s="1" t="s">
        <v>784</v>
      </c>
      <c r="P95" s="1" t="s">
        <v>785</v>
      </c>
      <c r="Q95" s="1" t="s">
        <v>786</v>
      </c>
      <c r="R95" s="1"/>
      <c r="S95" s="7">
        <v>0.0</v>
      </c>
      <c r="T95" s="7">
        <v>0.0</v>
      </c>
      <c r="U95" s="1"/>
      <c r="V95" s="6" t="b">
        <v>1</v>
      </c>
      <c r="W95" s="1"/>
    </row>
    <row r="96" ht="15.75" customHeight="1">
      <c r="A96" s="1" t="s">
        <v>787</v>
      </c>
      <c r="B96" s="1" t="s">
        <v>788</v>
      </c>
      <c r="C96" s="1" t="s">
        <v>789</v>
      </c>
      <c r="D96" s="1" t="s">
        <v>788</v>
      </c>
      <c r="E96" s="1" t="s">
        <v>729</v>
      </c>
      <c r="F96" s="1" t="s">
        <v>729</v>
      </c>
      <c r="G96" s="2" t="s">
        <v>27</v>
      </c>
      <c r="H96" s="2" t="str">
        <f>IFERROR(__xludf.DUMMYFUNCTION("""COMPUTED_VALUE"""),"Reyee Network")</f>
        <v>Reyee Network</v>
      </c>
      <c r="I96" s="2" t="s">
        <v>27</v>
      </c>
      <c r="J96" s="3">
        <v>2990.0</v>
      </c>
      <c r="K96" s="4" t="s">
        <v>790</v>
      </c>
      <c r="L96" s="4" t="s">
        <v>791</v>
      </c>
      <c r="M96" s="4" t="s">
        <v>792</v>
      </c>
      <c r="N96" s="1" t="s">
        <v>793</v>
      </c>
      <c r="O96" s="1" t="s">
        <v>794</v>
      </c>
      <c r="P96" s="1" t="s">
        <v>795</v>
      </c>
      <c r="Q96" s="1" t="s">
        <v>796</v>
      </c>
      <c r="R96" s="1"/>
      <c r="S96" s="7">
        <v>0.0</v>
      </c>
      <c r="T96" s="7">
        <v>0.0</v>
      </c>
      <c r="U96" s="1"/>
      <c r="V96" s="6" t="b">
        <v>1</v>
      </c>
      <c r="W96" s="1"/>
    </row>
    <row r="97" ht="15.75" customHeight="1">
      <c r="A97" s="1" t="s">
        <v>797</v>
      </c>
      <c r="B97" s="1" t="s">
        <v>798</v>
      </c>
      <c r="C97" s="1" t="s">
        <v>799</v>
      </c>
      <c r="D97" s="1" t="s">
        <v>798</v>
      </c>
      <c r="E97" s="1" t="s">
        <v>729</v>
      </c>
      <c r="F97" s="1" t="s">
        <v>729</v>
      </c>
      <c r="G97" s="2" t="s">
        <v>27</v>
      </c>
      <c r="H97" s="2" t="str">
        <f>IFERROR(__xludf.DUMMYFUNCTION("""COMPUTED_VALUE"""),"Reyee Network")</f>
        <v>Reyee Network</v>
      </c>
      <c r="I97" s="2" t="s">
        <v>27</v>
      </c>
      <c r="J97" s="3">
        <v>12900.0</v>
      </c>
      <c r="K97" s="4" t="s">
        <v>800</v>
      </c>
      <c r="L97" s="4" t="s">
        <v>801</v>
      </c>
      <c r="M97" s="4" t="s">
        <v>802</v>
      </c>
      <c r="N97" s="1" t="s">
        <v>803</v>
      </c>
      <c r="O97" s="1" t="s">
        <v>804</v>
      </c>
      <c r="P97" s="1" t="s">
        <v>805</v>
      </c>
      <c r="Q97" s="1" t="s">
        <v>806</v>
      </c>
      <c r="R97" s="1" t="s">
        <v>35</v>
      </c>
      <c r="S97" s="7">
        <v>0.0</v>
      </c>
      <c r="T97" s="7">
        <v>0.0</v>
      </c>
      <c r="U97" s="1"/>
      <c r="V97" s="6" t="b">
        <v>1</v>
      </c>
      <c r="W97" s="1"/>
    </row>
    <row r="98" ht="15.75" customHeight="1">
      <c r="A98" s="1" t="s">
        <v>807</v>
      </c>
      <c r="B98" s="1" t="s">
        <v>808</v>
      </c>
      <c r="C98" s="1" t="s">
        <v>809</v>
      </c>
      <c r="D98" s="1" t="s">
        <v>808</v>
      </c>
      <c r="E98" s="1" t="s">
        <v>729</v>
      </c>
      <c r="F98" s="1" t="s">
        <v>729</v>
      </c>
      <c r="G98" s="2" t="s">
        <v>27</v>
      </c>
      <c r="H98" s="2" t="str">
        <f>IFERROR(__xludf.DUMMYFUNCTION("""COMPUTED_VALUE"""),"Reyee Network")</f>
        <v>Reyee Network</v>
      </c>
      <c r="I98" s="2" t="s">
        <v>27</v>
      </c>
      <c r="J98" s="3">
        <v>7990.0</v>
      </c>
      <c r="K98" s="4" t="s">
        <v>810</v>
      </c>
      <c r="L98" s="4" t="s">
        <v>811</v>
      </c>
      <c r="M98" s="4" t="s">
        <v>812</v>
      </c>
      <c r="N98" s="1" t="s">
        <v>813</v>
      </c>
      <c r="O98" s="5" t="s">
        <v>814</v>
      </c>
      <c r="P98" s="1" t="s">
        <v>815</v>
      </c>
      <c r="Q98" s="1" t="s">
        <v>816</v>
      </c>
      <c r="R98" s="1" t="s">
        <v>35</v>
      </c>
      <c r="S98" s="7">
        <v>0.0</v>
      </c>
      <c r="T98" s="7">
        <v>0.0</v>
      </c>
      <c r="U98" s="1"/>
      <c r="V98" s="6" t="b">
        <v>1</v>
      </c>
      <c r="W98" s="1"/>
    </row>
    <row r="99" ht="15.75" customHeight="1">
      <c r="A99" s="1" t="s">
        <v>817</v>
      </c>
      <c r="B99" s="1" t="s">
        <v>818</v>
      </c>
      <c r="C99" s="1" t="s">
        <v>819</v>
      </c>
      <c r="D99" s="1" t="s">
        <v>818</v>
      </c>
      <c r="E99" s="1" t="s">
        <v>729</v>
      </c>
      <c r="F99" s="1" t="s">
        <v>729</v>
      </c>
      <c r="G99" s="2" t="s">
        <v>27</v>
      </c>
      <c r="H99" s="2" t="str">
        <f>IFERROR(__xludf.DUMMYFUNCTION("""COMPUTED_VALUE"""),"Reyee Network")</f>
        <v>Reyee Network</v>
      </c>
      <c r="I99" s="2" t="s">
        <v>27</v>
      </c>
      <c r="J99" s="3">
        <v>4280.0</v>
      </c>
      <c r="K99" s="4" t="s">
        <v>820</v>
      </c>
      <c r="L99" s="4" t="s">
        <v>821</v>
      </c>
      <c r="M99" s="4" t="s">
        <v>822</v>
      </c>
      <c r="N99" s="1" t="s">
        <v>823</v>
      </c>
      <c r="O99" s="5" t="s">
        <v>824</v>
      </c>
      <c r="P99" s="1" t="s">
        <v>825</v>
      </c>
      <c r="Q99" s="1" t="s">
        <v>826</v>
      </c>
      <c r="R99" s="1"/>
      <c r="S99" s="7">
        <v>0.0</v>
      </c>
      <c r="T99" s="7">
        <v>0.0</v>
      </c>
      <c r="U99" s="1"/>
      <c r="V99" s="6" t="b">
        <v>1</v>
      </c>
      <c r="W99" s="1"/>
    </row>
    <row r="100" ht="15.75" customHeight="1">
      <c r="A100" s="1" t="s">
        <v>827</v>
      </c>
      <c r="B100" s="1" t="s">
        <v>828</v>
      </c>
      <c r="C100" s="1" t="s">
        <v>829</v>
      </c>
      <c r="D100" s="1" t="s">
        <v>828</v>
      </c>
      <c r="E100" s="1" t="s">
        <v>729</v>
      </c>
      <c r="F100" s="1" t="s">
        <v>729</v>
      </c>
      <c r="G100" s="2" t="s">
        <v>27</v>
      </c>
      <c r="H100" s="2" t="str">
        <f>IFERROR(__xludf.DUMMYFUNCTION("""COMPUTED_VALUE"""),"Reyee Network")</f>
        <v>Reyee Network</v>
      </c>
      <c r="I100" s="2" t="s">
        <v>27</v>
      </c>
      <c r="J100" s="3">
        <v>1690.0</v>
      </c>
      <c r="K100" s="4" t="s">
        <v>830</v>
      </c>
      <c r="L100" s="10" t="s">
        <v>831</v>
      </c>
      <c r="M100" s="4" t="s">
        <v>832</v>
      </c>
      <c r="N100" s="1" t="s">
        <v>833</v>
      </c>
      <c r="O100" s="5" t="s">
        <v>834</v>
      </c>
      <c r="P100" s="1" t="s">
        <v>835</v>
      </c>
      <c r="Q100" s="1" t="s">
        <v>836</v>
      </c>
      <c r="R100" s="1"/>
      <c r="S100" s="7">
        <v>0.0</v>
      </c>
      <c r="T100" s="7">
        <v>0.0</v>
      </c>
      <c r="U100" s="1"/>
      <c r="V100" s="6" t="b">
        <v>1</v>
      </c>
      <c r="W100" s="1"/>
    </row>
    <row r="101" ht="15.75" customHeight="1">
      <c r="A101" s="1" t="s">
        <v>837</v>
      </c>
      <c r="B101" s="1" t="s">
        <v>838</v>
      </c>
      <c r="C101" s="1" t="s">
        <v>839</v>
      </c>
      <c r="D101" s="1" t="s">
        <v>838</v>
      </c>
      <c r="E101" s="1" t="s">
        <v>729</v>
      </c>
      <c r="F101" s="1" t="s">
        <v>729</v>
      </c>
      <c r="G101" s="2" t="s">
        <v>27</v>
      </c>
      <c r="H101" s="2" t="str">
        <f>IFERROR(__xludf.DUMMYFUNCTION("""COMPUTED_VALUE"""),"Reyee Network")</f>
        <v>Reyee Network</v>
      </c>
      <c r="I101" s="2" t="s">
        <v>27</v>
      </c>
      <c r="J101" s="3">
        <v>1990.0</v>
      </c>
      <c r="K101" s="4" t="s">
        <v>840</v>
      </c>
      <c r="L101" s="4" t="s">
        <v>841</v>
      </c>
      <c r="M101" s="4" t="s">
        <v>842</v>
      </c>
      <c r="N101" s="1" t="s">
        <v>843</v>
      </c>
      <c r="O101" s="5" t="s">
        <v>844</v>
      </c>
      <c r="P101" s="1" t="s">
        <v>845</v>
      </c>
      <c r="Q101" s="1" t="s">
        <v>846</v>
      </c>
      <c r="R101" s="1"/>
      <c r="S101" s="7">
        <v>0.0</v>
      </c>
      <c r="T101" s="7">
        <v>0.0</v>
      </c>
      <c r="U101" s="1"/>
      <c r="V101" s="6" t="b">
        <v>1</v>
      </c>
      <c r="W101" s="1"/>
    </row>
    <row r="102" ht="15.75" customHeight="1">
      <c r="A102" s="1" t="s">
        <v>847</v>
      </c>
      <c r="B102" s="1" t="s">
        <v>848</v>
      </c>
      <c r="C102" s="1" t="s">
        <v>849</v>
      </c>
      <c r="D102" s="1" t="s">
        <v>848</v>
      </c>
      <c r="E102" s="1" t="s">
        <v>729</v>
      </c>
      <c r="F102" s="1" t="s">
        <v>729</v>
      </c>
      <c r="G102" s="2" t="s">
        <v>27</v>
      </c>
      <c r="H102" s="2" t="str">
        <f>IFERROR(__xludf.DUMMYFUNCTION("""COMPUTED_VALUE"""),"Reyee Network")</f>
        <v>Reyee Network</v>
      </c>
      <c r="I102" s="2" t="s">
        <v>27</v>
      </c>
      <c r="J102" s="3">
        <v>3290.0</v>
      </c>
      <c r="K102" s="4" t="s">
        <v>850</v>
      </c>
      <c r="L102" s="4" t="s">
        <v>851</v>
      </c>
      <c r="M102" s="4" t="s">
        <v>852</v>
      </c>
      <c r="N102" s="1" t="s">
        <v>853</v>
      </c>
      <c r="O102" s="1" t="s">
        <v>854</v>
      </c>
      <c r="P102" s="1" t="s">
        <v>855</v>
      </c>
      <c r="Q102" s="1" t="s">
        <v>856</v>
      </c>
      <c r="R102" s="1"/>
      <c r="S102" s="7">
        <v>0.0</v>
      </c>
      <c r="T102" s="7">
        <v>0.0</v>
      </c>
      <c r="U102" s="1"/>
      <c r="V102" s="6" t="b">
        <v>1</v>
      </c>
      <c r="W102" s="1"/>
    </row>
    <row r="103" ht="15.75" customHeight="1">
      <c r="A103" s="1" t="s">
        <v>857</v>
      </c>
      <c r="B103" s="1" t="s">
        <v>858</v>
      </c>
      <c r="C103" s="1" t="s">
        <v>859</v>
      </c>
      <c r="D103" s="1" t="s">
        <v>858</v>
      </c>
      <c r="E103" s="1" t="s">
        <v>729</v>
      </c>
      <c r="F103" s="1" t="s">
        <v>729</v>
      </c>
      <c r="G103" s="2" t="s">
        <v>27</v>
      </c>
      <c r="H103" s="2" t="str">
        <f>IFERROR(__xludf.DUMMYFUNCTION("""COMPUTED_VALUE"""),"Reyee Network")</f>
        <v>Reyee Network</v>
      </c>
      <c r="I103" s="2" t="s">
        <v>27</v>
      </c>
      <c r="J103" s="3">
        <v>4190.0</v>
      </c>
      <c r="K103" s="10" t="s">
        <v>860</v>
      </c>
      <c r="L103" s="4" t="s">
        <v>861</v>
      </c>
      <c r="M103" s="4" t="s">
        <v>862</v>
      </c>
      <c r="N103" s="1" t="s">
        <v>863</v>
      </c>
      <c r="O103" s="5" t="s">
        <v>864</v>
      </c>
      <c r="P103" s="1" t="s">
        <v>865</v>
      </c>
      <c r="Q103" s="1" t="s">
        <v>866</v>
      </c>
      <c r="R103" s="1"/>
      <c r="S103" s="7">
        <v>0.0</v>
      </c>
      <c r="T103" s="7">
        <v>0.0</v>
      </c>
      <c r="U103" s="1"/>
      <c r="V103" s="6" t="b">
        <v>1</v>
      </c>
      <c r="W103" s="1"/>
    </row>
    <row r="104" ht="15.75" customHeight="1">
      <c r="A104" s="1" t="s">
        <v>867</v>
      </c>
      <c r="B104" s="1" t="s">
        <v>868</v>
      </c>
      <c r="C104" s="1" t="s">
        <v>869</v>
      </c>
      <c r="D104" s="1" t="s">
        <v>868</v>
      </c>
      <c r="E104" s="1" t="s">
        <v>729</v>
      </c>
      <c r="F104" s="1" t="s">
        <v>729</v>
      </c>
      <c r="G104" s="2" t="s">
        <v>27</v>
      </c>
      <c r="H104" s="2" t="str">
        <f>IFERROR(__xludf.DUMMYFUNCTION("""COMPUTED_VALUE"""),"Reyee Network")</f>
        <v>Reyee Network</v>
      </c>
      <c r="I104" s="2" t="s">
        <v>27</v>
      </c>
      <c r="J104" s="3">
        <v>7390.0</v>
      </c>
      <c r="K104" s="4" t="s">
        <v>870</v>
      </c>
      <c r="L104" s="4" t="s">
        <v>871</v>
      </c>
      <c r="M104" s="4" t="s">
        <v>872</v>
      </c>
      <c r="N104" s="1" t="s">
        <v>873</v>
      </c>
      <c r="O104" s="1" t="s">
        <v>874</v>
      </c>
      <c r="P104" s="1" t="s">
        <v>875</v>
      </c>
      <c r="Q104" s="1" t="s">
        <v>876</v>
      </c>
      <c r="R104" s="1"/>
      <c r="S104" s="7">
        <v>0.0</v>
      </c>
      <c r="T104" s="7">
        <v>0.0</v>
      </c>
      <c r="U104" s="1"/>
      <c r="V104" s="6" t="b">
        <v>1</v>
      </c>
      <c r="W104" s="1"/>
    </row>
    <row r="105" ht="15.75" customHeight="1">
      <c r="A105" s="1" t="s">
        <v>877</v>
      </c>
      <c r="B105" s="1" t="s">
        <v>878</v>
      </c>
      <c r="C105" s="1" t="s">
        <v>879</v>
      </c>
      <c r="D105" s="1" t="s">
        <v>878</v>
      </c>
      <c r="E105" s="1" t="s">
        <v>729</v>
      </c>
      <c r="F105" s="1" t="s">
        <v>729</v>
      </c>
      <c r="G105" s="2" t="s">
        <v>27</v>
      </c>
      <c r="H105" s="2" t="str">
        <f>IFERROR(__xludf.DUMMYFUNCTION("""COMPUTED_VALUE"""),"Reyee Network")</f>
        <v>Reyee Network</v>
      </c>
      <c r="I105" s="2" t="s">
        <v>27</v>
      </c>
      <c r="J105" s="3">
        <v>0.0</v>
      </c>
      <c r="K105" s="4" t="s">
        <v>880</v>
      </c>
      <c r="L105" s="4" t="s">
        <v>881</v>
      </c>
      <c r="M105" s="4" t="s">
        <v>882</v>
      </c>
      <c r="N105" s="1" t="s">
        <v>883</v>
      </c>
      <c r="O105" s="1" t="s">
        <v>884</v>
      </c>
      <c r="P105" s="1" t="s">
        <v>885</v>
      </c>
      <c r="Q105" s="1" t="s">
        <v>886</v>
      </c>
      <c r="R105" s="1"/>
      <c r="S105" s="7">
        <v>0.0</v>
      </c>
      <c r="T105" s="7">
        <v>0.0</v>
      </c>
      <c r="U105" s="1"/>
      <c r="V105" s="6" t="b">
        <v>1</v>
      </c>
      <c r="W105" s="1"/>
    </row>
    <row r="106" ht="15.75" customHeight="1">
      <c r="A106" s="1" t="s">
        <v>887</v>
      </c>
      <c r="B106" s="1" t="s">
        <v>888</v>
      </c>
      <c r="C106" s="1" t="s">
        <v>889</v>
      </c>
      <c r="D106" s="1" t="s">
        <v>888</v>
      </c>
      <c r="E106" s="1" t="s">
        <v>729</v>
      </c>
      <c r="F106" s="1" t="s">
        <v>729</v>
      </c>
      <c r="G106" s="2" t="s">
        <v>27</v>
      </c>
      <c r="H106" s="2" t="str">
        <f>IFERROR(__xludf.DUMMYFUNCTION("""COMPUTED_VALUE"""),"Reyee Network")</f>
        <v>Reyee Network</v>
      </c>
      <c r="I106" s="2" t="s">
        <v>27</v>
      </c>
      <c r="J106" s="3">
        <v>3990.0</v>
      </c>
      <c r="K106" s="4" t="s">
        <v>890</v>
      </c>
      <c r="L106" s="4" t="s">
        <v>891</v>
      </c>
      <c r="M106" s="10" t="s">
        <v>892</v>
      </c>
      <c r="N106" s="1" t="s">
        <v>893</v>
      </c>
      <c r="O106" s="5" t="s">
        <v>894</v>
      </c>
      <c r="P106" s="1" t="s">
        <v>895</v>
      </c>
      <c r="Q106" s="1" t="s">
        <v>896</v>
      </c>
      <c r="R106" s="1"/>
      <c r="S106" s="7">
        <v>0.0</v>
      </c>
      <c r="T106" s="7">
        <v>0.0</v>
      </c>
      <c r="U106" s="1"/>
      <c r="V106" s="6" t="b">
        <v>1</v>
      </c>
      <c r="W106" s="1"/>
    </row>
    <row r="107" ht="15.75" customHeight="1">
      <c r="A107" s="1" t="s">
        <v>897</v>
      </c>
      <c r="B107" s="1" t="s">
        <v>898</v>
      </c>
      <c r="C107" s="1" t="s">
        <v>899</v>
      </c>
      <c r="D107" s="1" t="s">
        <v>898</v>
      </c>
      <c r="E107" s="1" t="s">
        <v>729</v>
      </c>
      <c r="F107" s="1" t="s">
        <v>729</v>
      </c>
      <c r="G107" s="2" t="s">
        <v>27</v>
      </c>
      <c r="H107" s="2" t="str">
        <f>IFERROR(__xludf.DUMMYFUNCTION("""COMPUTED_VALUE"""),"Reyee Network")</f>
        <v>Reyee Network</v>
      </c>
      <c r="I107" s="2" t="s">
        <v>27</v>
      </c>
      <c r="J107" s="3">
        <v>2600.0</v>
      </c>
      <c r="K107" s="4" t="s">
        <v>900</v>
      </c>
      <c r="L107" s="4" t="s">
        <v>901</v>
      </c>
      <c r="M107" s="4" t="s">
        <v>902</v>
      </c>
      <c r="N107" s="1" t="s">
        <v>903</v>
      </c>
      <c r="O107" s="1" t="s">
        <v>904</v>
      </c>
      <c r="P107" s="1" t="s">
        <v>905</v>
      </c>
      <c r="Q107" s="1" t="s">
        <v>906</v>
      </c>
      <c r="R107" s="1"/>
      <c r="S107" s="7">
        <v>0.0</v>
      </c>
      <c r="T107" s="7">
        <v>0.0</v>
      </c>
      <c r="U107" s="1"/>
      <c r="V107" s="6" t="b">
        <v>1</v>
      </c>
      <c r="W107" s="1"/>
    </row>
    <row r="108" ht="15.75" customHeight="1">
      <c r="A108" s="1" t="s">
        <v>907</v>
      </c>
      <c r="B108" s="1" t="s">
        <v>908</v>
      </c>
      <c r="C108" s="1" t="s">
        <v>909</v>
      </c>
      <c r="D108" s="1" t="s">
        <v>908</v>
      </c>
      <c r="E108" s="1" t="s">
        <v>729</v>
      </c>
      <c r="F108" s="1" t="s">
        <v>729</v>
      </c>
      <c r="G108" s="2" t="s">
        <v>27</v>
      </c>
      <c r="H108" s="2" t="str">
        <f>IFERROR(__xludf.DUMMYFUNCTION("""COMPUTED_VALUE"""),"Reyee Network")</f>
        <v>Reyee Network</v>
      </c>
      <c r="I108" s="2" t="s">
        <v>27</v>
      </c>
      <c r="J108" s="3">
        <v>4190.0</v>
      </c>
      <c r="K108" s="4" t="s">
        <v>910</v>
      </c>
      <c r="L108" s="4" t="s">
        <v>911</v>
      </c>
      <c r="M108" s="4" t="s">
        <v>912</v>
      </c>
      <c r="N108" s="1" t="s">
        <v>913</v>
      </c>
      <c r="O108" s="1" t="s">
        <v>914</v>
      </c>
      <c r="P108" s="1" t="s">
        <v>915</v>
      </c>
      <c r="Q108" s="1" t="s">
        <v>916</v>
      </c>
      <c r="R108" s="1"/>
      <c r="S108" s="7">
        <v>0.0</v>
      </c>
      <c r="T108" s="7">
        <v>0.0</v>
      </c>
      <c r="U108" s="1"/>
      <c r="V108" s="6" t="b">
        <v>1</v>
      </c>
      <c r="W108" s="1"/>
    </row>
    <row r="109" ht="15.75" customHeight="1">
      <c r="A109" s="1" t="s">
        <v>917</v>
      </c>
      <c r="B109" s="1" t="s">
        <v>918</v>
      </c>
      <c r="C109" s="1" t="s">
        <v>919</v>
      </c>
      <c r="D109" s="1" t="s">
        <v>918</v>
      </c>
      <c r="E109" s="1" t="s">
        <v>729</v>
      </c>
      <c r="F109" s="1" t="s">
        <v>729</v>
      </c>
      <c r="G109" s="2" t="s">
        <v>27</v>
      </c>
      <c r="H109" s="2" t="str">
        <f>IFERROR(__xludf.DUMMYFUNCTION("""COMPUTED_VALUE"""),"Reyee Network")</f>
        <v>Reyee Network</v>
      </c>
      <c r="I109" s="2" t="s">
        <v>27</v>
      </c>
      <c r="J109" s="3">
        <v>7590.0</v>
      </c>
      <c r="K109" s="4" t="s">
        <v>920</v>
      </c>
      <c r="L109" s="4" t="s">
        <v>921</v>
      </c>
      <c r="M109" s="4" t="s">
        <v>922</v>
      </c>
      <c r="N109" s="1" t="s">
        <v>923</v>
      </c>
      <c r="O109" s="1" t="s">
        <v>924</v>
      </c>
      <c r="P109" s="1" t="s">
        <v>925</v>
      </c>
      <c r="Q109" s="1" t="s">
        <v>926</v>
      </c>
      <c r="R109" s="1"/>
      <c r="S109" s="7">
        <v>0.0</v>
      </c>
      <c r="T109" s="7">
        <v>0.0</v>
      </c>
      <c r="U109" s="1"/>
      <c r="V109" s="6" t="b">
        <v>1</v>
      </c>
      <c r="W109" s="1"/>
    </row>
    <row r="110" ht="15.75" customHeight="1">
      <c r="A110" s="1" t="s">
        <v>927</v>
      </c>
      <c r="B110" s="1" t="s">
        <v>928</v>
      </c>
      <c r="C110" s="1" t="s">
        <v>929</v>
      </c>
      <c r="D110" s="1" t="s">
        <v>928</v>
      </c>
      <c r="E110" s="1" t="s">
        <v>729</v>
      </c>
      <c r="F110" s="1" t="s">
        <v>729</v>
      </c>
      <c r="G110" s="2" t="s">
        <v>27</v>
      </c>
      <c r="H110" s="2" t="str">
        <f>IFERROR(__xludf.DUMMYFUNCTION("""COMPUTED_VALUE"""),"Reyee Network")</f>
        <v>Reyee Network</v>
      </c>
      <c r="I110" s="2" t="s">
        <v>27</v>
      </c>
      <c r="J110" s="3">
        <v>4990.0</v>
      </c>
      <c r="K110" s="4" t="s">
        <v>930</v>
      </c>
      <c r="L110" s="4" t="s">
        <v>931</v>
      </c>
      <c r="M110" s="4" t="s">
        <v>932</v>
      </c>
      <c r="N110" s="1" t="s">
        <v>933</v>
      </c>
      <c r="O110" s="1" t="s">
        <v>934</v>
      </c>
      <c r="P110" s="1" t="s">
        <v>935</v>
      </c>
      <c r="Q110" s="1" t="s">
        <v>936</v>
      </c>
      <c r="R110" s="1"/>
      <c r="S110" s="7">
        <v>0.0</v>
      </c>
      <c r="T110" s="7">
        <v>0.0</v>
      </c>
      <c r="U110" s="1"/>
      <c r="V110" s="6" t="b">
        <v>1</v>
      </c>
      <c r="W110" s="1"/>
    </row>
    <row r="111" ht="15.75" customHeight="1">
      <c r="A111" s="1" t="s">
        <v>937</v>
      </c>
      <c r="B111" s="1" t="s">
        <v>938</v>
      </c>
      <c r="C111" s="1" t="s">
        <v>939</v>
      </c>
      <c r="D111" s="1" t="s">
        <v>938</v>
      </c>
      <c r="E111" s="1" t="s">
        <v>729</v>
      </c>
      <c r="F111" s="1" t="s">
        <v>729</v>
      </c>
      <c r="G111" s="2" t="s">
        <v>27</v>
      </c>
      <c r="H111" s="2" t="str">
        <f>IFERROR(__xludf.DUMMYFUNCTION("""COMPUTED_VALUE"""),"Reyee Network")</f>
        <v>Reyee Network</v>
      </c>
      <c r="I111" s="2" t="s">
        <v>27</v>
      </c>
      <c r="J111" s="3">
        <v>6990.0</v>
      </c>
      <c r="K111" s="4" t="s">
        <v>940</v>
      </c>
      <c r="L111" s="4" t="s">
        <v>941</v>
      </c>
      <c r="M111" s="4" t="s">
        <v>942</v>
      </c>
      <c r="N111" s="1" t="s">
        <v>943</v>
      </c>
      <c r="O111" s="1" t="s">
        <v>944</v>
      </c>
      <c r="P111" s="1" t="s">
        <v>945</v>
      </c>
      <c r="Q111" s="1" t="s">
        <v>946</v>
      </c>
      <c r="R111" s="1"/>
      <c r="S111" s="7">
        <v>0.0</v>
      </c>
      <c r="T111" s="7">
        <v>0.0</v>
      </c>
      <c r="U111" s="1"/>
      <c r="V111" s="6" t="b">
        <v>1</v>
      </c>
      <c r="W111" s="1"/>
    </row>
    <row r="112" ht="15.75" customHeight="1">
      <c r="A112" s="1" t="s">
        <v>947</v>
      </c>
      <c r="B112" s="1" t="s">
        <v>948</v>
      </c>
      <c r="C112" s="1" t="s">
        <v>949</v>
      </c>
      <c r="D112" s="1" t="s">
        <v>948</v>
      </c>
      <c r="E112" s="1" t="s">
        <v>729</v>
      </c>
      <c r="F112" s="1" t="s">
        <v>729</v>
      </c>
      <c r="G112" s="2" t="s">
        <v>27</v>
      </c>
      <c r="H112" s="2" t="str">
        <f>IFERROR(__xludf.DUMMYFUNCTION("""COMPUTED_VALUE"""),"Reyee Network")</f>
        <v>Reyee Network</v>
      </c>
      <c r="I112" s="2" t="s">
        <v>27</v>
      </c>
      <c r="J112" s="3">
        <v>12900.0</v>
      </c>
      <c r="K112" s="4" t="s">
        <v>950</v>
      </c>
      <c r="L112" s="4" t="s">
        <v>951</v>
      </c>
      <c r="M112" s="4" t="s">
        <v>952</v>
      </c>
      <c r="N112" s="1" t="s">
        <v>953</v>
      </c>
      <c r="O112" s="1" t="s">
        <v>954</v>
      </c>
      <c r="P112" s="1" t="s">
        <v>955</v>
      </c>
      <c r="Q112" s="1" t="s">
        <v>956</v>
      </c>
      <c r="R112" s="1"/>
      <c r="S112" s="7">
        <v>0.0</v>
      </c>
      <c r="T112" s="7">
        <v>0.0</v>
      </c>
      <c r="U112" s="1"/>
      <c r="V112" s="6" t="b">
        <v>1</v>
      </c>
      <c r="W112" s="1"/>
    </row>
    <row r="113" ht="15.75" customHeight="1">
      <c r="A113" s="1" t="s">
        <v>957</v>
      </c>
      <c r="B113" s="1" t="s">
        <v>958</v>
      </c>
      <c r="C113" s="1" t="s">
        <v>959</v>
      </c>
      <c r="D113" s="1" t="s">
        <v>958</v>
      </c>
      <c r="E113" s="1" t="s">
        <v>729</v>
      </c>
      <c r="F113" s="1" t="s">
        <v>729</v>
      </c>
      <c r="G113" s="2" t="s">
        <v>27</v>
      </c>
      <c r="H113" s="2" t="str">
        <f>IFERROR(__xludf.DUMMYFUNCTION("""COMPUTED_VALUE"""),"Reyee Network")</f>
        <v>Reyee Network</v>
      </c>
      <c r="I113" s="2" t="s">
        <v>27</v>
      </c>
      <c r="J113" s="3">
        <v>29900.0</v>
      </c>
      <c r="K113" s="4" t="s">
        <v>960</v>
      </c>
      <c r="L113" s="4" t="s">
        <v>961</v>
      </c>
      <c r="M113" s="4" t="s">
        <v>962</v>
      </c>
      <c r="N113" s="1" t="s">
        <v>963</v>
      </c>
      <c r="O113" s="1" t="s">
        <v>964</v>
      </c>
      <c r="P113" s="1" t="s">
        <v>965</v>
      </c>
      <c r="Q113" s="1" t="s">
        <v>966</v>
      </c>
      <c r="R113" s="1"/>
      <c r="S113" s="7">
        <v>0.0</v>
      </c>
      <c r="T113" s="7">
        <v>0.0</v>
      </c>
      <c r="U113" s="1"/>
      <c r="V113" s="6" t="b">
        <v>1</v>
      </c>
      <c r="W113" s="1"/>
    </row>
    <row r="114" ht="15.75" customHeight="1">
      <c r="A114" s="1" t="s">
        <v>967</v>
      </c>
      <c r="B114" s="1" t="s">
        <v>968</v>
      </c>
      <c r="C114" s="1" t="s">
        <v>969</v>
      </c>
      <c r="D114" s="1" t="s">
        <v>968</v>
      </c>
      <c r="E114" s="1" t="s">
        <v>729</v>
      </c>
      <c r="F114" s="1" t="s">
        <v>729</v>
      </c>
      <c r="G114" s="2" t="s">
        <v>27</v>
      </c>
      <c r="H114" s="2" t="str">
        <f>IFERROR(__xludf.DUMMYFUNCTION("""COMPUTED_VALUE"""),"Reyee Network")</f>
        <v>Reyee Network</v>
      </c>
      <c r="I114" s="2" t="s">
        <v>27</v>
      </c>
      <c r="J114" s="3">
        <v>3790.0</v>
      </c>
      <c r="K114" s="4" t="s">
        <v>970</v>
      </c>
      <c r="L114" s="4" t="s">
        <v>971</v>
      </c>
      <c r="M114" s="4" t="s">
        <v>972</v>
      </c>
      <c r="N114" s="1" t="s">
        <v>973</v>
      </c>
      <c r="O114" s="1" t="s">
        <v>974</v>
      </c>
      <c r="P114" s="1" t="s">
        <v>975</v>
      </c>
      <c r="Q114" s="1" t="s">
        <v>976</v>
      </c>
      <c r="R114" s="1"/>
      <c r="S114" s="7">
        <v>0.0</v>
      </c>
      <c r="T114" s="7">
        <v>0.0</v>
      </c>
      <c r="U114" s="1"/>
      <c r="V114" s="6" t="b">
        <v>1</v>
      </c>
      <c r="W114" s="1"/>
    </row>
    <row r="115" ht="15.75" customHeight="1">
      <c r="A115" s="1" t="s">
        <v>977</v>
      </c>
      <c r="B115" s="1" t="s">
        <v>978</v>
      </c>
      <c r="C115" s="1" t="s">
        <v>979</v>
      </c>
      <c r="D115" s="1" t="s">
        <v>978</v>
      </c>
      <c r="E115" s="1" t="s">
        <v>729</v>
      </c>
      <c r="F115" s="1" t="s">
        <v>729</v>
      </c>
      <c r="G115" s="2" t="s">
        <v>27</v>
      </c>
      <c r="H115" s="2" t="str">
        <f>IFERROR(__xludf.DUMMYFUNCTION("""COMPUTED_VALUE"""),"Reyee Network")</f>
        <v>Reyee Network</v>
      </c>
      <c r="I115" s="2" t="s">
        <v>27</v>
      </c>
      <c r="J115" s="3">
        <v>2690.0</v>
      </c>
      <c r="K115" s="4" t="s">
        <v>980</v>
      </c>
      <c r="L115" s="4" t="s">
        <v>981</v>
      </c>
      <c r="M115" s="4" t="s">
        <v>982</v>
      </c>
      <c r="N115" s="1" t="s">
        <v>983</v>
      </c>
      <c r="O115" s="1" t="s">
        <v>984</v>
      </c>
      <c r="P115" s="1" t="s">
        <v>985</v>
      </c>
      <c r="Q115" s="1" t="s">
        <v>986</v>
      </c>
      <c r="R115" s="1"/>
      <c r="S115" s="7">
        <v>0.0</v>
      </c>
      <c r="T115" s="7">
        <v>0.0</v>
      </c>
      <c r="U115" s="1"/>
      <c r="V115" s="6" t="b">
        <v>1</v>
      </c>
      <c r="W115" s="1"/>
    </row>
    <row r="116" ht="15.75" customHeight="1">
      <c r="A116" s="1" t="s">
        <v>987</v>
      </c>
      <c r="B116" s="1" t="s">
        <v>988</v>
      </c>
      <c r="C116" s="1" t="s">
        <v>989</v>
      </c>
      <c r="D116" s="1" t="s">
        <v>988</v>
      </c>
      <c r="E116" s="1" t="s">
        <v>729</v>
      </c>
      <c r="F116" s="1" t="s">
        <v>729</v>
      </c>
      <c r="G116" s="2" t="s">
        <v>27</v>
      </c>
      <c r="H116" s="2" t="str">
        <f>IFERROR(__xludf.DUMMYFUNCTION("""COMPUTED_VALUE"""),"Reyee Network")</f>
        <v>Reyee Network</v>
      </c>
      <c r="I116" s="2" t="s">
        <v>27</v>
      </c>
      <c r="J116" s="3">
        <v>1690.0</v>
      </c>
      <c r="K116" s="4" t="s">
        <v>990</v>
      </c>
      <c r="L116" s="4" t="s">
        <v>991</v>
      </c>
      <c r="M116" s="4" t="s">
        <v>992</v>
      </c>
      <c r="N116" s="1" t="s">
        <v>993</v>
      </c>
      <c r="O116" s="1" t="s">
        <v>994</v>
      </c>
      <c r="P116" s="1" t="s">
        <v>995</v>
      </c>
      <c r="Q116" s="1" t="s">
        <v>996</v>
      </c>
      <c r="R116" s="1"/>
      <c r="S116" s="7">
        <v>0.0</v>
      </c>
      <c r="T116" s="7">
        <v>0.0</v>
      </c>
      <c r="U116" s="1"/>
      <c r="V116" s="6" t="b">
        <v>1</v>
      </c>
      <c r="W116" s="1"/>
    </row>
    <row r="117" ht="15.75" customHeight="1">
      <c r="A117" s="1" t="s">
        <v>997</v>
      </c>
      <c r="B117" s="1" t="s">
        <v>998</v>
      </c>
      <c r="C117" s="1" t="s">
        <v>999</v>
      </c>
      <c r="D117" s="1" t="s">
        <v>998</v>
      </c>
      <c r="E117" s="1" t="s">
        <v>729</v>
      </c>
      <c r="F117" s="1" t="s">
        <v>729</v>
      </c>
      <c r="G117" s="2" t="s">
        <v>27</v>
      </c>
      <c r="H117" s="2" t="str">
        <f>IFERROR(__xludf.DUMMYFUNCTION("""COMPUTED_VALUE"""),"Reyee Network")</f>
        <v>Reyee Network</v>
      </c>
      <c r="I117" s="2" t="s">
        <v>27</v>
      </c>
      <c r="J117" s="3">
        <v>1290.0</v>
      </c>
      <c r="K117" s="4" t="s">
        <v>1000</v>
      </c>
      <c r="L117" s="4" t="s">
        <v>1001</v>
      </c>
      <c r="M117" s="4" t="s">
        <v>1002</v>
      </c>
      <c r="N117" s="1" t="s">
        <v>1003</v>
      </c>
      <c r="O117" s="5" t="s">
        <v>1004</v>
      </c>
      <c r="P117" s="1" t="s">
        <v>1005</v>
      </c>
      <c r="Q117" s="1" t="s">
        <v>1006</v>
      </c>
      <c r="R117" s="1"/>
      <c r="S117" s="7">
        <v>0.0</v>
      </c>
      <c r="T117" s="7">
        <v>0.0</v>
      </c>
      <c r="U117" s="1"/>
      <c r="V117" s="6" t="b">
        <v>1</v>
      </c>
      <c r="W117" s="1"/>
    </row>
    <row r="118" ht="15.0" customHeight="1">
      <c r="A118" s="1" t="s">
        <v>1007</v>
      </c>
      <c r="B118" s="1" t="s">
        <v>1008</v>
      </c>
      <c r="C118" s="1" t="s">
        <v>1009</v>
      </c>
      <c r="D118" s="1" t="s">
        <v>1008</v>
      </c>
      <c r="E118" s="1" t="s">
        <v>729</v>
      </c>
      <c r="F118" s="1" t="s">
        <v>729</v>
      </c>
      <c r="G118" s="2" t="s">
        <v>27</v>
      </c>
      <c r="H118" s="2" t="str">
        <f>IFERROR(__xludf.DUMMYFUNCTION("""COMPUTED_VALUE"""),"Reyee Network")</f>
        <v>Reyee Network</v>
      </c>
      <c r="I118" s="2" t="s">
        <v>27</v>
      </c>
      <c r="J118" s="3">
        <v>2390.0</v>
      </c>
      <c r="K118" s="4" t="s">
        <v>1010</v>
      </c>
      <c r="L118" s="4" t="s">
        <v>1011</v>
      </c>
      <c r="M118" s="4" t="s">
        <v>1012</v>
      </c>
      <c r="N118" s="1" t="s">
        <v>1013</v>
      </c>
      <c r="O118" s="5" t="s">
        <v>1014</v>
      </c>
      <c r="P118" s="1" t="s">
        <v>1015</v>
      </c>
      <c r="Q118" s="1" t="s">
        <v>1016</v>
      </c>
      <c r="R118" s="1"/>
      <c r="S118" s="7">
        <v>0.0</v>
      </c>
      <c r="T118" s="7">
        <v>0.0</v>
      </c>
      <c r="U118" s="1"/>
      <c r="V118" s="6" t="b">
        <v>1</v>
      </c>
      <c r="W118" s="1"/>
    </row>
    <row r="119" ht="15.0" customHeight="1">
      <c r="A119" s="1" t="s">
        <v>1017</v>
      </c>
      <c r="B119" s="1" t="s">
        <v>1018</v>
      </c>
      <c r="C119" s="1" t="s">
        <v>1019</v>
      </c>
      <c r="D119" s="1" t="s">
        <v>1018</v>
      </c>
      <c r="E119" s="1" t="s">
        <v>729</v>
      </c>
      <c r="F119" s="1" t="s">
        <v>729</v>
      </c>
      <c r="G119" s="2" t="s">
        <v>27</v>
      </c>
      <c r="H119" s="2" t="str">
        <f>IFERROR(__xludf.DUMMYFUNCTION("""COMPUTED_VALUE"""),"Reyee Network")</f>
        <v>Reyee Network</v>
      </c>
      <c r="I119" s="2" t="s">
        <v>27</v>
      </c>
      <c r="J119" s="3">
        <v>0.0</v>
      </c>
      <c r="K119" s="4" t="s">
        <v>1020</v>
      </c>
      <c r="L119" s="4" t="s">
        <v>1021</v>
      </c>
      <c r="M119" s="4" t="s">
        <v>1022</v>
      </c>
      <c r="N119" s="1" t="s">
        <v>1023</v>
      </c>
      <c r="O119" s="5" t="s">
        <v>1024</v>
      </c>
      <c r="P119" s="1" t="s">
        <v>1025</v>
      </c>
      <c r="Q119" s="1" t="s">
        <v>1026</v>
      </c>
      <c r="R119" s="1"/>
      <c r="S119" s="7">
        <v>0.0</v>
      </c>
      <c r="T119" s="7">
        <v>0.0</v>
      </c>
      <c r="U119" s="1"/>
      <c r="V119" s="6" t="b">
        <v>1</v>
      </c>
      <c r="W119" s="1"/>
    </row>
    <row r="120" ht="15.0" customHeight="1">
      <c r="A120" s="1"/>
      <c r="B120" s="1"/>
      <c r="C120" s="1"/>
      <c r="D120" s="1"/>
      <c r="E120" s="1"/>
      <c r="F120" s="1"/>
      <c r="G120" s="1"/>
      <c r="H120" s="1" t="str">
        <f>IFERROR(__xludf.DUMMYFUNCTION("""COMPUTED_VALUE"""),"")</f>
        <v/>
      </c>
      <c r="I120" s="1" t="s">
        <v>170</v>
      </c>
      <c r="J120" s="3"/>
      <c r="K120" s="4"/>
      <c r="L120" s="4"/>
      <c r="M120" s="4"/>
      <c r="N120" s="1"/>
      <c r="O120" s="1"/>
      <c r="P120" s="1"/>
      <c r="Q120" s="1"/>
      <c r="R120" s="1"/>
      <c r="S120" s="7"/>
      <c r="T120" s="7"/>
      <c r="U120" s="1"/>
      <c r="V120" s="6"/>
      <c r="W120" s="1"/>
    </row>
    <row r="121" ht="15.75" customHeight="1">
      <c r="A121" s="1" t="s">
        <v>1027</v>
      </c>
      <c r="B121" s="1" t="s">
        <v>1027</v>
      </c>
      <c r="C121" s="1" t="s">
        <v>1028</v>
      </c>
      <c r="D121" s="1" t="s">
        <v>1027</v>
      </c>
      <c r="E121" s="1" t="s">
        <v>729</v>
      </c>
      <c r="F121" s="1" t="s">
        <v>729</v>
      </c>
      <c r="G121" s="1" t="s">
        <v>174</v>
      </c>
      <c r="H121" s="1" t="str">
        <f>IFERROR(__xludf.DUMMYFUNCTION("""COMPUTED_VALUE"""),"Reyee Network")</f>
        <v>Reyee Network</v>
      </c>
      <c r="I121" s="1" t="s">
        <v>174</v>
      </c>
      <c r="J121" s="3">
        <v>7960.0</v>
      </c>
      <c r="K121" s="4" t="s">
        <v>1029</v>
      </c>
      <c r="L121" s="4" t="s">
        <v>1030</v>
      </c>
      <c r="M121" s="4" t="s">
        <v>1031</v>
      </c>
      <c r="N121" s="1" t="s">
        <v>1032</v>
      </c>
      <c r="O121" s="5" t="s">
        <v>1033</v>
      </c>
      <c r="P121" s="5" t="s">
        <v>1034</v>
      </c>
      <c r="Q121" s="1" t="s">
        <v>179</v>
      </c>
      <c r="R121" s="1"/>
      <c r="S121" s="7">
        <v>0.0</v>
      </c>
      <c r="T121" s="7">
        <v>0.0</v>
      </c>
      <c r="U121" s="1"/>
      <c r="V121" s="6" t="b">
        <v>1</v>
      </c>
      <c r="W121" s="1"/>
    </row>
    <row r="122" ht="15.75" customHeight="1">
      <c r="A122" s="1" t="s">
        <v>1035</v>
      </c>
      <c r="B122" s="1" t="s">
        <v>1035</v>
      </c>
      <c r="C122" s="1" t="s">
        <v>1036</v>
      </c>
      <c r="D122" s="1" t="s">
        <v>1035</v>
      </c>
      <c r="E122" s="1" t="s">
        <v>729</v>
      </c>
      <c r="F122" s="1" t="s">
        <v>729</v>
      </c>
      <c r="G122" s="1" t="s">
        <v>174</v>
      </c>
      <c r="H122" s="1" t="str">
        <f>IFERROR(__xludf.DUMMYFUNCTION("""COMPUTED_VALUE"""),"Reyee Network")</f>
        <v>Reyee Network</v>
      </c>
      <c r="I122" s="1" t="s">
        <v>174</v>
      </c>
      <c r="J122" s="3">
        <v>7160.0</v>
      </c>
      <c r="K122" s="4" t="s">
        <v>1037</v>
      </c>
      <c r="L122" s="4" t="s">
        <v>1038</v>
      </c>
      <c r="M122" s="4" t="s">
        <v>1039</v>
      </c>
      <c r="N122" s="1" t="s">
        <v>1040</v>
      </c>
      <c r="O122" s="5" t="s">
        <v>1041</v>
      </c>
      <c r="P122" s="5" t="s">
        <v>1042</v>
      </c>
      <c r="Q122" s="1" t="s">
        <v>1043</v>
      </c>
      <c r="R122" s="1"/>
      <c r="S122" s="7">
        <v>0.0</v>
      </c>
      <c r="T122" s="7">
        <v>0.0</v>
      </c>
      <c r="U122" s="1"/>
      <c r="V122" s="6" t="b">
        <v>1</v>
      </c>
      <c r="W122" s="1"/>
    </row>
    <row r="123" ht="15.75" customHeight="1">
      <c r="A123" s="1" t="s">
        <v>1044</v>
      </c>
      <c r="B123" s="1" t="s">
        <v>1044</v>
      </c>
      <c r="C123" s="1" t="s">
        <v>1045</v>
      </c>
      <c r="D123" s="1" t="s">
        <v>1044</v>
      </c>
      <c r="E123" s="1" t="s">
        <v>729</v>
      </c>
      <c r="F123" s="1" t="s">
        <v>729</v>
      </c>
      <c r="G123" s="1" t="s">
        <v>174</v>
      </c>
      <c r="H123" s="1" t="str">
        <f>IFERROR(__xludf.DUMMYFUNCTION("""COMPUTED_VALUE"""),"Reyee Network")</f>
        <v>Reyee Network</v>
      </c>
      <c r="I123" s="1" t="s">
        <v>174</v>
      </c>
      <c r="J123" s="3">
        <v>0.0</v>
      </c>
      <c r="K123" s="4" t="s">
        <v>1046</v>
      </c>
      <c r="L123" s="4" t="s">
        <v>1047</v>
      </c>
      <c r="M123" s="4" t="s">
        <v>1048</v>
      </c>
      <c r="N123" s="1" t="s">
        <v>1045</v>
      </c>
      <c r="O123" s="5" t="s">
        <v>1049</v>
      </c>
      <c r="P123" s="5" t="s">
        <v>1050</v>
      </c>
      <c r="Q123" s="1" t="s">
        <v>1043</v>
      </c>
      <c r="R123" s="1"/>
      <c r="S123" s="7">
        <v>0.0</v>
      </c>
      <c r="T123" s="7">
        <v>0.0</v>
      </c>
      <c r="U123" s="1"/>
      <c r="V123" s="6" t="b">
        <v>1</v>
      </c>
      <c r="W123" s="1"/>
    </row>
    <row r="124" ht="15.75" customHeight="1">
      <c r="A124" s="1" t="s">
        <v>1051</v>
      </c>
      <c r="B124" s="1" t="s">
        <v>1051</v>
      </c>
      <c r="C124" s="1" t="s">
        <v>1052</v>
      </c>
      <c r="D124" s="1" t="s">
        <v>1051</v>
      </c>
      <c r="E124" s="1" t="s">
        <v>729</v>
      </c>
      <c r="F124" s="1" t="s">
        <v>729</v>
      </c>
      <c r="G124" s="1" t="s">
        <v>174</v>
      </c>
      <c r="H124" s="1" t="str">
        <f>IFERROR(__xludf.DUMMYFUNCTION("""COMPUTED_VALUE"""),"Reyee Network")</f>
        <v>Reyee Network</v>
      </c>
      <c r="I124" s="1" t="s">
        <v>174</v>
      </c>
      <c r="J124" s="3">
        <v>9860.0</v>
      </c>
      <c r="K124" s="4" t="s">
        <v>1053</v>
      </c>
      <c r="L124" s="4" t="s">
        <v>1054</v>
      </c>
      <c r="M124" s="4" t="s">
        <v>1055</v>
      </c>
      <c r="N124" s="1" t="s">
        <v>1052</v>
      </c>
      <c r="O124" s="5" t="s">
        <v>1056</v>
      </c>
      <c r="P124" s="5" t="s">
        <v>1057</v>
      </c>
      <c r="Q124" s="1" t="s">
        <v>1043</v>
      </c>
      <c r="R124" s="1"/>
      <c r="S124" s="7">
        <v>0.0</v>
      </c>
      <c r="T124" s="7">
        <v>0.0</v>
      </c>
      <c r="U124" s="1"/>
      <c r="V124" s="6" t="b">
        <v>1</v>
      </c>
      <c r="W124" s="1"/>
    </row>
    <row r="125" ht="15.75" customHeight="1">
      <c r="A125" s="1" t="s">
        <v>1058</v>
      </c>
      <c r="B125" s="1" t="s">
        <v>1058</v>
      </c>
      <c r="C125" s="1" t="s">
        <v>1059</v>
      </c>
      <c r="D125" s="1" t="s">
        <v>1058</v>
      </c>
      <c r="E125" s="1" t="s">
        <v>729</v>
      </c>
      <c r="F125" s="1" t="s">
        <v>729</v>
      </c>
      <c r="G125" s="1" t="s">
        <v>174</v>
      </c>
      <c r="H125" s="1" t="str">
        <f>IFERROR(__xludf.DUMMYFUNCTION("""COMPUTED_VALUE"""),"Reyee Network")</f>
        <v>Reyee Network</v>
      </c>
      <c r="I125" s="1" t="s">
        <v>174</v>
      </c>
      <c r="J125" s="3">
        <v>7050.0</v>
      </c>
      <c r="K125" s="4" t="s">
        <v>1060</v>
      </c>
      <c r="L125" s="4" t="s">
        <v>1061</v>
      </c>
      <c r="M125" s="4" t="s">
        <v>1062</v>
      </c>
      <c r="N125" s="1" t="s">
        <v>1059</v>
      </c>
      <c r="O125" s="5" t="s">
        <v>1063</v>
      </c>
      <c r="P125" s="5" t="s">
        <v>1064</v>
      </c>
      <c r="Q125" s="1" t="s">
        <v>179</v>
      </c>
      <c r="R125" s="1"/>
      <c r="S125" s="7">
        <v>0.0</v>
      </c>
      <c r="T125" s="7">
        <v>0.0</v>
      </c>
      <c r="U125" s="1"/>
      <c r="V125" s="6" t="b">
        <v>1</v>
      </c>
      <c r="W125" s="1"/>
    </row>
    <row r="126" ht="15.75" customHeight="1">
      <c r="A126" s="1" t="s">
        <v>1065</v>
      </c>
      <c r="B126" s="1" t="s">
        <v>1065</v>
      </c>
      <c r="C126" s="1" t="s">
        <v>1066</v>
      </c>
      <c r="D126" s="1" t="s">
        <v>1065</v>
      </c>
      <c r="E126" s="1" t="s">
        <v>729</v>
      </c>
      <c r="F126" s="1" t="s">
        <v>729</v>
      </c>
      <c r="G126" s="1" t="s">
        <v>174</v>
      </c>
      <c r="H126" s="1" t="str">
        <f>IFERROR(__xludf.DUMMYFUNCTION("""COMPUTED_VALUE"""),"Reyee Network")</f>
        <v>Reyee Network</v>
      </c>
      <c r="I126" s="1" t="s">
        <v>174</v>
      </c>
      <c r="J126" s="3">
        <v>6680.0</v>
      </c>
      <c r="K126" s="4" t="s">
        <v>1067</v>
      </c>
      <c r="L126" s="4" t="s">
        <v>1067</v>
      </c>
      <c r="M126" s="4" t="s">
        <v>1068</v>
      </c>
      <c r="N126" s="1" t="s">
        <v>1066</v>
      </c>
      <c r="O126" s="5" t="s">
        <v>1069</v>
      </c>
      <c r="P126" s="5" t="s">
        <v>1064</v>
      </c>
      <c r="Q126" s="1" t="s">
        <v>1043</v>
      </c>
      <c r="R126" s="1"/>
      <c r="S126" s="7">
        <v>0.0</v>
      </c>
      <c r="T126" s="7">
        <v>0.0</v>
      </c>
      <c r="U126" s="1"/>
      <c r="V126" s="6" t="b">
        <v>1</v>
      </c>
      <c r="W126" s="1"/>
    </row>
    <row r="127" ht="15.75" customHeight="1">
      <c r="A127" s="1" t="s">
        <v>1070</v>
      </c>
      <c r="B127" s="1" t="s">
        <v>1070</v>
      </c>
      <c r="C127" s="1" t="s">
        <v>1071</v>
      </c>
      <c r="D127" s="1" t="s">
        <v>1070</v>
      </c>
      <c r="E127" s="1" t="s">
        <v>729</v>
      </c>
      <c r="F127" s="1" t="s">
        <v>729</v>
      </c>
      <c r="G127" s="1" t="s">
        <v>174</v>
      </c>
      <c r="H127" s="1" t="str">
        <f>IFERROR(__xludf.DUMMYFUNCTION("""COMPUTED_VALUE"""),"Reyee Network")</f>
        <v>Reyee Network</v>
      </c>
      <c r="I127" s="1" t="s">
        <v>174</v>
      </c>
      <c r="J127" s="3">
        <v>5680.0</v>
      </c>
      <c r="K127" s="4" t="s">
        <v>1072</v>
      </c>
      <c r="L127" s="4" t="s">
        <v>1073</v>
      </c>
      <c r="M127" s="4" t="s">
        <v>1074</v>
      </c>
      <c r="N127" s="1" t="s">
        <v>1071</v>
      </c>
      <c r="O127" s="5" t="s">
        <v>1075</v>
      </c>
      <c r="P127" s="5" t="s">
        <v>1076</v>
      </c>
      <c r="Q127" s="1" t="s">
        <v>179</v>
      </c>
      <c r="R127" s="1"/>
      <c r="S127" s="7">
        <v>0.0</v>
      </c>
      <c r="T127" s="7">
        <v>0.0</v>
      </c>
      <c r="U127" s="1"/>
      <c r="V127" s="6" t="b">
        <v>1</v>
      </c>
      <c r="W127" s="1"/>
    </row>
    <row r="128" ht="15.75" customHeight="1">
      <c r="A128" s="1" t="s">
        <v>1077</v>
      </c>
      <c r="B128" s="1" t="s">
        <v>1077</v>
      </c>
      <c r="C128" s="1" t="s">
        <v>1078</v>
      </c>
      <c r="D128" s="1" t="s">
        <v>1077</v>
      </c>
      <c r="E128" s="1" t="s">
        <v>729</v>
      </c>
      <c r="F128" s="1" t="s">
        <v>729</v>
      </c>
      <c r="G128" s="1" t="s">
        <v>174</v>
      </c>
      <c r="H128" s="1" t="str">
        <f>IFERROR(__xludf.DUMMYFUNCTION("""COMPUTED_VALUE"""),"Reyee Network")</f>
        <v>Reyee Network</v>
      </c>
      <c r="I128" s="1" t="s">
        <v>174</v>
      </c>
      <c r="J128" s="3">
        <v>4860.0</v>
      </c>
      <c r="K128" s="4" t="s">
        <v>1079</v>
      </c>
      <c r="L128" s="4" t="s">
        <v>1080</v>
      </c>
      <c r="M128" s="4" t="s">
        <v>1081</v>
      </c>
      <c r="N128" s="1" t="s">
        <v>1078</v>
      </c>
      <c r="O128" s="5" t="s">
        <v>1082</v>
      </c>
      <c r="P128" s="5" t="s">
        <v>1083</v>
      </c>
      <c r="Q128" s="1" t="s">
        <v>1043</v>
      </c>
      <c r="R128" s="1"/>
      <c r="S128" s="7">
        <v>0.0</v>
      </c>
      <c r="T128" s="7">
        <v>0.0</v>
      </c>
      <c r="U128" s="1"/>
      <c r="V128" s="6" t="b">
        <v>1</v>
      </c>
      <c r="W128" s="1"/>
    </row>
    <row r="129" ht="15.75" customHeight="1">
      <c r="A129" s="1" t="s">
        <v>1084</v>
      </c>
      <c r="B129" s="1" t="s">
        <v>1084</v>
      </c>
      <c r="C129" s="1" t="s">
        <v>1085</v>
      </c>
      <c r="D129" s="1" t="s">
        <v>1084</v>
      </c>
      <c r="E129" s="1" t="s">
        <v>729</v>
      </c>
      <c r="F129" s="1" t="s">
        <v>729</v>
      </c>
      <c r="G129" s="1" t="s">
        <v>174</v>
      </c>
      <c r="H129" s="1" t="str">
        <f>IFERROR(__xludf.DUMMYFUNCTION("""COMPUTED_VALUE"""),"Reyee Network")</f>
        <v>Reyee Network</v>
      </c>
      <c r="I129" s="1" t="s">
        <v>174</v>
      </c>
      <c r="J129" s="3">
        <v>2700.0</v>
      </c>
      <c r="K129" s="4" t="s">
        <v>1086</v>
      </c>
      <c r="L129" s="4" t="s">
        <v>1087</v>
      </c>
      <c r="M129" s="4" t="s">
        <v>1088</v>
      </c>
      <c r="N129" s="1" t="s">
        <v>1085</v>
      </c>
      <c r="O129" s="5" t="s">
        <v>1089</v>
      </c>
      <c r="P129" s="5" t="s">
        <v>1090</v>
      </c>
      <c r="Q129" s="1" t="s">
        <v>1043</v>
      </c>
      <c r="R129" s="1"/>
      <c r="S129" s="7">
        <v>0.0</v>
      </c>
      <c r="T129" s="7">
        <v>0.0</v>
      </c>
      <c r="U129" s="1"/>
      <c r="V129" s="6" t="b">
        <v>1</v>
      </c>
      <c r="W129" s="1"/>
    </row>
    <row r="130" ht="15.75" customHeight="1">
      <c r="A130" s="1"/>
      <c r="B130" s="1"/>
      <c r="C130" s="1"/>
      <c r="D130" s="1"/>
      <c r="E130" s="1"/>
      <c r="F130" s="1"/>
      <c r="G130" s="1"/>
      <c r="H130" s="1" t="str">
        <f>IFERROR(__xludf.DUMMYFUNCTION("""COMPUTED_VALUE"""),"")</f>
        <v/>
      </c>
      <c r="I130" s="1" t="s">
        <v>170</v>
      </c>
      <c r="J130" s="3"/>
      <c r="K130" s="4"/>
      <c r="L130" s="4"/>
      <c r="M130" s="4"/>
      <c r="N130" s="1"/>
      <c r="O130" s="5"/>
      <c r="P130" s="5"/>
      <c r="Q130" s="1"/>
      <c r="R130" s="1"/>
      <c r="S130" s="7">
        <v>0.0</v>
      </c>
      <c r="T130" s="7">
        <v>0.0</v>
      </c>
      <c r="U130" s="1"/>
      <c r="V130" s="6" t="b">
        <v>1</v>
      </c>
      <c r="W130" s="1"/>
    </row>
    <row r="131" ht="15.75" customHeight="1">
      <c r="A131" s="1" t="s">
        <v>1091</v>
      </c>
      <c r="B131" s="1" t="s">
        <v>1091</v>
      </c>
      <c r="C131" s="1" t="s">
        <v>1092</v>
      </c>
      <c r="D131" s="1" t="s">
        <v>1091</v>
      </c>
      <c r="E131" s="1" t="s">
        <v>729</v>
      </c>
      <c r="F131" s="1" t="s">
        <v>729</v>
      </c>
      <c r="G131" s="1" t="s">
        <v>207</v>
      </c>
      <c r="H131" s="1" t="str">
        <f>IFERROR(__xludf.DUMMYFUNCTION("""COMPUTED_VALUE"""),"Reyee Network")</f>
        <v>Reyee Network</v>
      </c>
      <c r="I131" s="1" t="s">
        <v>207</v>
      </c>
      <c r="J131" s="3">
        <v>4390.0</v>
      </c>
      <c r="K131" s="4" t="s">
        <v>1093</v>
      </c>
      <c r="L131" s="4" t="s">
        <v>1094</v>
      </c>
      <c r="M131" s="4" t="s">
        <v>1095</v>
      </c>
      <c r="N131" s="1" t="s">
        <v>1092</v>
      </c>
      <c r="O131" s="5" t="s">
        <v>1096</v>
      </c>
      <c r="P131" s="5" t="s">
        <v>1097</v>
      </c>
      <c r="Q131" s="1" t="s">
        <v>1098</v>
      </c>
      <c r="R131" s="1"/>
      <c r="S131" s="7">
        <v>0.0</v>
      </c>
      <c r="T131" s="7">
        <v>0.0</v>
      </c>
      <c r="U131" s="1"/>
      <c r="V131" s="6" t="b">
        <v>1</v>
      </c>
      <c r="W131" s="1"/>
    </row>
    <row r="132" ht="15.75" customHeight="1">
      <c r="A132" s="1" t="s">
        <v>1099</v>
      </c>
      <c r="B132" s="1" t="s">
        <v>1099</v>
      </c>
      <c r="C132" s="1" t="s">
        <v>1100</v>
      </c>
      <c r="D132" s="1" t="s">
        <v>1099</v>
      </c>
      <c r="E132" s="1" t="s">
        <v>729</v>
      </c>
      <c r="F132" s="1" t="s">
        <v>729</v>
      </c>
      <c r="G132" s="1" t="s">
        <v>207</v>
      </c>
      <c r="H132" s="1" t="str">
        <f>IFERROR(__xludf.DUMMYFUNCTION("""COMPUTED_VALUE"""),"Reyee Network")</f>
        <v>Reyee Network</v>
      </c>
      <c r="I132" s="1" t="s">
        <v>207</v>
      </c>
      <c r="J132" s="3">
        <v>6290.0</v>
      </c>
      <c r="K132" s="4" t="s">
        <v>1101</v>
      </c>
      <c r="L132" s="4" t="s">
        <v>1102</v>
      </c>
      <c r="M132" s="4" t="s">
        <v>1103</v>
      </c>
      <c r="N132" s="1" t="s">
        <v>1100</v>
      </c>
      <c r="O132" s="5" t="s">
        <v>1104</v>
      </c>
      <c r="P132" s="5" t="s">
        <v>1105</v>
      </c>
      <c r="Q132" s="1" t="s">
        <v>1098</v>
      </c>
      <c r="R132" s="1"/>
      <c r="S132" s="7">
        <v>0.0</v>
      </c>
      <c r="T132" s="7">
        <v>0.0</v>
      </c>
      <c r="U132" s="1"/>
      <c r="V132" s="6" t="b">
        <v>1</v>
      </c>
      <c r="W132" s="1"/>
    </row>
    <row r="133" ht="15.75" customHeight="1">
      <c r="A133" s="1" t="s">
        <v>1106</v>
      </c>
      <c r="B133" s="1" t="s">
        <v>1106</v>
      </c>
      <c r="C133" s="1" t="s">
        <v>1107</v>
      </c>
      <c r="D133" s="1" t="s">
        <v>1106</v>
      </c>
      <c r="E133" s="1" t="s">
        <v>729</v>
      </c>
      <c r="F133" s="1" t="s">
        <v>729</v>
      </c>
      <c r="G133" s="1" t="s">
        <v>207</v>
      </c>
      <c r="H133" s="1" t="str">
        <f>IFERROR(__xludf.DUMMYFUNCTION("""COMPUTED_VALUE"""),"Reyee Network")</f>
        <v>Reyee Network</v>
      </c>
      <c r="I133" s="1" t="s">
        <v>207</v>
      </c>
      <c r="J133" s="3">
        <v>3990.0</v>
      </c>
      <c r="K133" s="4" t="s">
        <v>1108</v>
      </c>
      <c r="L133" s="4" t="s">
        <v>1109</v>
      </c>
      <c r="M133" s="4" t="s">
        <v>1110</v>
      </c>
      <c r="N133" s="1" t="s">
        <v>1107</v>
      </c>
      <c r="O133" s="5" t="s">
        <v>1111</v>
      </c>
      <c r="P133" s="5" t="s">
        <v>1112</v>
      </c>
      <c r="Q133" s="1" t="s">
        <v>1098</v>
      </c>
      <c r="R133" s="1"/>
      <c r="S133" s="7">
        <v>0.0</v>
      </c>
      <c r="T133" s="7">
        <v>0.0</v>
      </c>
      <c r="U133" s="1"/>
      <c r="V133" s="6" t="b">
        <v>1</v>
      </c>
      <c r="W133" s="1"/>
    </row>
    <row r="134" ht="15.75" customHeight="1">
      <c r="A134" s="2" t="s">
        <v>1113</v>
      </c>
      <c r="B134" s="2" t="s">
        <v>1113</v>
      </c>
      <c r="C134" s="2" t="s">
        <v>1114</v>
      </c>
      <c r="D134" s="2" t="s">
        <v>1113</v>
      </c>
      <c r="E134" s="1" t="s">
        <v>729</v>
      </c>
      <c r="F134" s="1" t="s">
        <v>729</v>
      </c>
      <c r="G134" s="1" t="s">
        <v>207</v>
      </c>
      <c r="H134" s="1" t="str">
        <f>IFERROR(__xludf.DUMMYFUNCTION("""COMPUTED_VALUE"""),"Reyee Network")</f>
        <v>Reyee Network</v>
      </c>
      <c r="I134" s="1" t="s">
        <v>207</v>
      </c>
      <c r="J134" s="13">
        <v>4850.0</v>
      </c>
      <c r="K134" s="14" t="s">
        <v>1115</v>
      </c>
      <c r="L134" s="14" t="s">
        <v>1116</v>
      </c>
      <c r="M134" s="14" t="s">
        <v>1117</v>
      </c>
      <c r="N134" s="2" t="s">
        <v>1114</v>
      </c>
      <c r="O134" s="15" t="s">
        <v>1118</v>
      </c>
      <c r="P134" s="15" t="s">
        <v>1119</v>
      </c>
      <c r="Q134" s="1" t="s">
        <v>1098</v>
      </c>
      <c r="R134" s="1"/>
      <c r="S134" s="7">
        <v>0.0</v>
      </c>
      <c r="T134" s="7">
        <v>0.0</v>
      </c>
      <c r="U134" s="1"/>
      <c r="V134" s="6" t="b">
        <v>1</v>
      </c>
      <c r="W134" s="1"/>
    </row>
    <row r="135" ht="15.75" customHeight="1">
      <c r="A135" s="2" t="s">
        <v>1120</v>
      </c>
      <c r="B135" s="2" t="s">
        <v>1120</v>
      </c>
      <c r="C135" s="2" t="s">
        <v>1121</v>
      </c>
      <c r="D135" s="2" t="s">
        <v>1120</v>
      </c>
      <c r="E135" s="1" t="s">
        <v>729</v>
      </c>
      <c r="F135" s="1" t="s">
        <v>729</v>
      </c>
      <c r="G135" s="1" t="s">
        <v>207</v>
      </c>
      <c r="H135" s="1" t="str">
        <f>IFERROR(__xludf.DUMMYFUNCTION("""COMPUTED_VALUE"""),"Reyee Network")</f>
        <v>Reyee Network</v>
      </c>
      <c r="I135" s="1" t="s">
        <v>207</v>
      </c>
      <c r="J135" s="13">
        <v>730.0</v>
      </c>
      <c r="K135" s="14" t="s">
        <v>1122</v>
      </c>
      <c r="L135" s="14" t="s">
        <v>1123</v>
      </c>
      <c r="M135" s="14" t="s">
        <v>1124</v>
      </c>
      <c r="N135" s="2" t="s">
        <v>1121</v>
      </c>
      <c r="O135" s="15" t="s">
        <v>1125</v>
      </c>
      <c r="P135" s="15" t="s">
        <v>1126</v>
      </c>
      <c r="Q135" s="1" t="s">
        <v>1098</v>
      </c>
      <c r="R135" s="1"/>
      <c r="S135" s="7">
        <v>0.0</v>
      </c>
      <c r="T135" s="7">
        <v>0.0</v>
      </c>
      <c r="U135" s="1"/>
      <c r="V135" s="6" t="b">
        <v>1</v>
      </c>
      <c r="W135" s="1"/>
    </row>
    <row r="136" ht="15.75" customHeight="1">
      <c r="A136" s="2" t="s">
        <v>1127</v>
      </c>
      <c r="B136" s="2" t="s">
        <v>1127</v>
      </c>
      <c r="C136" s="2" t="s">
        <v>1128</v>
      </c>
      <c r="D136" s="2" t="s">
        <v>1127</v>
      </c>
      <c r="E136" s="1" t="s">
        <v>729</v>
      </c>
      <c r="F136" s="1" t="s">
        <v>729</v>
      </c>
      <c r="G136" s="1" t="s">
        <v>207</v>
      </c>
      <c r="H136" s="1" t="str">
        <f>IFERROR(__xludf.DUMMYFUNCTION("""COMPUTED_VALUE"""),"Reyee Network")</f>
        <v>Reyee Network</v>
      </c>
      <c r="I136" s="1" t="s">
        <v>207</v>
      </c>
      <c r="J136" s="13">
        <v>1650.0</v>
      </c>
      <c r="K136" s="16" t="s">
        <v>1129</v>
      </c>
      <c r="L136" s="16" t="s">
        <v>1130</v>
      </c>
      <c r="M136" s="16" t="s">
        <v>1131</v>
      </c>
      <c r="N136" s="2" t="s">
        <v>1128</v>
      </c>
      <c r="O136" s="15" t="s">
        <v>1132</v>
      </c>
      <c r="P136" s="15" t="s">
        <v>1133</v>
      </c>
      <c r="Q136" s="1" t="s">
        <v>1098</v>
      </c>
      <c r="R136" s="1"/>
      <c r="S136" s="7">
        <v>0.0</v>
      </c>
      <c r="T136" s="7">
        <v>0.0</v>
      </c>
      <c r="U136" s="1"/>
      <c r="V136" s="6" t="b">
        <v>1</v>
      </c>
      <c r="W136" s="1"/>
    </row>
    <row r="137" ht="15.75" customHeight="1">
      <c r="A137" s="2" t="s">
        <v>1134</v>
      </c>
      <c r="B137" s="2" t="s">
        <v>1134</v>
      </c>
      <c r="C137" s="2" t="s">
        <v>1135</v>
      </c>
      <c r="D137" s="2" t="s">
        <v>1134</v>
      </c>
      <c r="E137" s="1" t="s">
        <v>729</v>
      </c>
      <c r="F137" s="1" t="s">
        <v>729</v>
      </c>
      <c r="G137" s="1" t="s">
        <v>207</v>
      </c>
      <c r="H137" s="1" t="str">
        <f>IFERROR(__xludf.DUMMYFUNCTION("""COMPUTED_VALUE"""),"Reyee Network")</f>
        <v>Reyee Network</v>
      </c>
      <c r="I137" s="1" t="s">
        <v>207</v>
      </c>
      <c r="J137" s="13">
        <v>2210.0</v>
      </c>
      <c r="K137" s="16" t="s">
        <v>1136</v>
      </c>
      <c r="L137" s="16" t="s">
        <v>1137</v>
      </c>
      <c r="M137" s="16" t="s">
        <v>1138</v>
      </c>
      <c r="N137" s="2" t="s">
        <v>1135</v>
      </c>
      <c r="O137" s="2" t="s">
        <v>1139</v>
      </c>
      <c r="P137" s="2" t="s">
        <v>1140</v>
      </c>
      <c r="Q137" s="1" t="s">
        <v>1098</v>
      </c>
      <c r="R137" s="1"/>
      <c r="S137" s="7">
        <v>0.0</v>
      </c>
      <c r="T137" s="7">
        <v>0.0</v>
      </c>
      <c r="U137" s="1"/>
      <c r="V137" s="6" t="b">
        <v>1</v>
      </c>
      <c r="W137" s="1"/>
    </row>
    <row r="138" ht="15.75" customHeight="1">
      <c r="A138" s="2" t="s">
        <v>1141</v>
      </c>
      <c r="B138" s="2" t="s">
        <v>1141</v>
      </c>
      <c r="C138" s="2" t="s">
        <v>1142</v>
      </c>
      <c r="D138" s="2" t="s">
        <v>1141</v>
      </c>
      <c r="E138" s="1" t="s">
        <v>729</v>
      </c>
      <c r="F138" s="1" t="s">
        <v>729</v>
      </c>
      <c r="G138" s="1" t="s">
        <v>207</v>
      </c>
      <c r="H138" s="1" t="str">
        <f>IFERROR(__xludf.DUMMYFUNCTION("""COMPUTED_VALUE"""),"Reyee Network")</f>
        <v>Reyee Network</v>
      </c>
      <c r="I138" s="1" t="s">
        <v>207</v>
      </c>
      <c r="J138" s="13">
        <v>1900.0</v>
      </c>
      <c r="K138" s="16" t="s">
        <v>1143</v>
      </c>
      <c r="L138" s="16" t="s">
        <v>1144</v>
      </c>
      <c r="M138" s="16" t="s">
        <v>1145</v>
      </c>
      <c r="N138" s="2" t="s">
        <v>1142</v>
      </c>
      <c r="O138" s="2" t="s">
        <v>1146</v>
      </c>
      <c r="P138" s="2" t="s">
        <v>1147</v>
      </c>
      <c r="Q138" s="1" t="s">
        <v>1098</v>
      </c>
      <c r="R138" s="1"/>
      <c r="S138" s="7">
        <v>0.0</v>
      </c>
      <c r="T138" s="7">
        <v>0.0</v>
      </c>
      <c r="U138" s="1"/>
      <c r="V138" s="6" t="b">
        <v>1</v>
      </c>
      <c r="W138" s="1"/>
    </row>
    <row r="139" ht="15.75" customHeight="1">
      <c r="A139" s="2" t="s">
        <v>1148</v>
      </c>
      <c r="B139" s="2" t="s">
        <v>1148</v>
      </c>
      <c r="C139" s="2" t="s">
        <v>1149</v>
      </c>
      <c r="D139" s="2" t="s">
        <v>1148</v>
      </c>
      <c r="E139" s="1" t="s">
        <v>729</v>
      </c>
      <c r="F139" s="1" t="s">
        <v>729</v>
      </c>
      <c r="G139" s="1" t="s">
        <v>207</v>
      </c>
      <c r="H139" s="1" t="str">
        <f>IFERROR(__xludf.DUMMYFUNCTION("""COMPUTED_VALUE"""),"Reyee Network")</f>
        <v>Reyee Network</v>
      </c>
      <c r="I139" s="1" t="s">
        <v>207</v>
      </c>
      <c r="J139" s="13">
        <v>970.0</v>
      </c>
      <c r="K139" s="16" t="s">
        <v>1150</v>
      </c>
      <c r="L139" s="16" t="s">
        <v>1151</v>
      </c>
      <c r="M139" s="17" t="s">
        <v>1151</v>
      </c>
      <c r="N139" s="2" t="s">
        <v>1149</v>
      </c>
      <c r="O139" s="2" t="s">
        <v>1152</v>
      </c>
      <c r="P139" s="2" t="s">
        <v>1153</v>
      </c>
      <c r="Q139" s="1" t="s">
        <v>1098</v>
      </c>
      <c r="R139" s="1"/>
      <c r="S139" s="7">
        <v>0.0</v>
      </c>
      <c r="T139" s="7">
        <v>0.0</v>
      </c>
      <c r="U139" s="1"/>
      <c r="V139" s="6" t="b">
        <v>1</v>
      </c>
      <c r="W139" s="1"/>
    </row>
    <row r="140" ht="15.75" customHeight="1">
      <c r="A140" s="2" t="s">
        <v>1154</v>
      </c>
      <c r="B140" s="2" t="s">
        <v>1154</v>
      </c>
      <c r="C140" s="2" t="s">
        <v>1155</v>
      </c>
      <c r="D140" s="2" t="s">
        <v>1154</v>
      </c>
      <c r="E140" s="1" t="s">
        <v>729</v>
      </c>
      <c r="F140" s="1" t="s">
        <v>729</v>
      </c>
      <c r="G140" s="1" t="s">
        <v>207</v>
      </c>
      <c r="H140" s="1" t="str">
        <f>IFERROR(__xludf.DUMMYFUNCTION("""COMPUTED_VALUE"""),"Reyee Network")</f>
        <v>Reyee Network</v>
      </c>
      <c r="I140" s="1" t="s">
        <v>207</v>
      </c>
      <c r="J140" s="13">
        <v>3300.0</v>
      </c>
      <c r="K140" s="16" t="s">
        <v>1156</v>
      </c>
      <c r="L140" s="16" t="s">
        <v>1157</v>
      </c>
      <c r="M140" s="16" t="s">
        <v>1158</v>
      </c>
      <c r="N140" s="2" t="s">
        <v>1155</v>
      </c>
      <c r="O140" s="2" t="s">
        <v>1159</v>
      </c>
      <c r="P140" s="2" t="s">
        <v>1160</v>
      </c>
      <c r="Q140" s="1" t="s">
        <v>1098</v>
      </c>
      <c r="R140" s="1"/>
      <c r="S140" s="7">
        <v>0.0</v>
      </c>
      <c r="T140" s="7">
        <v>0.0</v>
      </c>
      <c r="U140" s="1"/>
      <c r="V140" s="6" t="b">
        <v>1</v>
      </c>
      <c r="W140" s="1"/>
    </row>
    <row r="141" ht="15.75" customHeight="1">
      <c r="A141" s="2" t="s">
        <v>1161</v>
      </c>
      <c r="B141" s="2" t="s">
        <v>1161</v>
      </c>
      <c r="C141" s="2" t="s">
        <v>1162</v>
      </c>
      <c r="D141" s="2" t="s">
        <v>1161</v>
      </c>
      <c r="E141" s="1" t="s">
        <v>729</v>
      </c>
      <c r="F141" s="1" t="s">
        <v>729</v>
      </c>
      <c r="G141" s="1" t="s">
        <v>207</v>
      </c>
      <c r="H141" s="1" t="str">
        <f>IFERROR(__xludf.DUMMYFUNCTION("""COMPUTED_VALUE"""),"Reyee Network")</f>
        <v>Reyee Network</v>
      </c>
      <c r="I141" s="1" t="s">
        <v>207</v>
      </c>
      <c r="J141" s="13">
        <v>3300.0</v>
      </c>
      <c r="K141" s="16" t="s">
        <v>1163</v>
      </c>
      <c r="L141" s="16" t="s">
        <v>1164</v>
      </c>
      <c r="M141" s="17" t="s">
        <v>1165</v>
      </c>
      <c r="N141" s="2" t="s">
        <v>1162</v>
      </c>
      <c r="O141" s="2" t="s">
        <v>1166</v>
      </c>
      <c r="P141" s="2" t="s">
        <v>1167</v>
      </c>
      <c r="Q141" s="1" t="s">
        <v>1098</v>
      </c>
      <c r="R141" s="1"/>
      <c r="S141" s="7">
        <v>0.0</v>
      </c>
      <c r="T141" s="7">
        <v>0.0</v>
      </c>
      <c r="U141" s="1"/>
      <c r="V141" s="6" t="b">
        <v>1</v>
      </c>
      <c r="W141" s="1"/>
    </row>
    <row r="142" ht="15.75" customHeight="1">
      <c r="A142" s="2" t="s">
        <v>1168</v>
      </c>
      <c r="B142" s="2" t="s">
        <v>1168</v>
      </c>
      <c r="C142" s="2" t="s">
        <v>1169</v>
      </c>
      <c r="D142" s="2" t="s">
        <v>1168</v>
      </c>
      <c r="E142" s="1" t="s">
        <v>729</v>
      </c>
      <c r="F142" s="1" t="s">
        <v>729</v>
      </c>
      <c r="G142" s="1" t="s">
        <v>207</v>
      </c>
      <c r="H142" s="1" t="str">
        <f>IFERROR(__xludf.DUMMYFUNCTION("""COMPUTED_VALUE"""),"Reyee Network")</f>
        <v>Reyee Network</v>
      </c>
      <c r="I142" s="1" t="s">
        <v>207</v>
      </c>
      <c r="J142" s="13">
        <v>3150.0</v>
      </c>
      <c r="K142" s="17" t="s">
        <v>1170</v>
      </c>
      <c r="L142" s="16" t="s">
        <v>1171</v>
      </c>
      <c r="M142" s="16" t="s">
        <v>1172</v>
      </c>
      <c r="N142" s="2" t="s">
        <v>1169</v>
      </c>
      <c r="O142" s="2" t="s">
        <v>1173</v>
      </c>
      <c r="P142" s="2" t="s">
        <v>1174</v>
      </c>
      <c r="Q142" s="1" t="s">
        <v>1098</v>
      </c>
      <c r="R142" s="1"/>
      <c r="S142" s="7">
        <v>0.0</v>
      </c>
      <c r="T142" s="7">
        <v>0.0</v>
      </c>
      <c r="U142" s="1"/>
      <c r="V142" s="6" t="b">
        <v>1</v>
      </c>
      <c r="W142" s="1"/>
    </row>
    <row r="143" ht="15.75" customHeight="1">
      <c r="A143" s="2" t="s">
        <v>1175</v>
      </c>
      <c r="B143" s="2" t="s">
        <v>1175</v>
      </c>
      <c r="C143" s="2" t="s">
        <v>1176</v>
      </c>
      <c r="D143" s="2" t="s">
        <v>1177</v>
      </c>
      <c r="E143" s="1" t="s">
        <v>729</v>
      </c>
      <c r="F143" s="1" t="s">
        <v>729</v>
      </c>
      <c r="G143" s="1" t="s">
        <v>207</v>
      </c>
      <c r="H143" s="1" t="str">
        <f>IFERROR(__xludf.DUMMYFUNCTION("""COMPUTED_VALUE"""),"Reyee Network")</f>
        <v>Reyee Network</v>
      </c>
      <c r="I143" s="1" t="s">
        <v>207</v>
      </c>
      <c r="J143" s="13">
        <v>2950.0</v>
      </c>
      <c r="K143" s="16" t="s">
        <v>1178</v>
      </c>
      <c r="L143" s="16" t="s">
        <v>1179</v>
      </c>
      <c r="M143" s="16" t="s">
        <v>1180</v>
      </c>
      <c r="N143" s="2" t="s">
        <v>1176</v>
      </c>
      <c r="O143" s="2" t="s">
        <v>1181</v>
      </c>
      <c r="P143" s="2" t="s">
        <v>1182</v>
      </c>
      <c r="Q143" s="1" t="s">
        <v>1098</v>
      </c>
      <c r="R143" s="1"/>
      <c r="S143" s="7">
        <v>0.0</v>
      </c>
      <c r="T143" s="7">
        <v>0.0</v>
      </c>
      <c r="U143" s="1"/>
      <c r="V143" s="6" t="b">
        <v>1</v>
      </c>
      <c r="W143" s="1"/>
    </row>
    <row r="144" ht="15.75" customHeight="1">
      <c r="A144" s="2" t="s">
        <v>1183</v>
      </c>
      <c r="B144" s="2" t="s">
        <v>1183</v>
      </c>
      <c r="C144" s="2" t="s">
        <v>1184</v>
      </c>
      <c r="D144" s="2" t="s">
        <v>1183</v>
      </c>
      <c r="E144" s="1" t="s">
        <v>729</v>
      </c>
      <c r="F144" s="1" t="s">
        <v>729</v>
      </c>
      <c r="G144" s="1" t="s">
        <v>207</v>
      </c>
      <c r="H144" s="1" t="str">
        <f>IFERROR(__xludf.DUMMYFUNCTION("""COMPUTED_VALUE"""),"Reyee Network")</f>
        <v>Reyee Network</v>
      </c>
      <c r="I144" s="1" t="s">
        <v>207</v>
      </c>
      <c r="J144" s="13">
        <v>6800.0</v>
      </c>
      <c r="K144" s="16" t="s">
        <v>1185</v>
      </c>
      <c r="L144" s="16" t="s">
        <v>1186</v>
      </c>
      <c r="M144" s="17" t="s">
        <v>1187</v>
      </c>
      <c r="N144" s="2" t="s">
        <v>1184</v>
      </c>
      <c r="O144" s="2" t="s">
        <v>1188</v>
      </c>
      <c r="P144" s="2" t="s">
        <v>1189</v>
      </c>
      <c r="Q144" s="1" t="s">
        <v>1098</v>
      </c>
      <c r="R144" s="1"/>
      <c r="S144" s="7">
        <v>0.0</v>
      </c>
      <c r="T144" s="7">
        <v>0.0</v>
      </c>
      <c r="U144" s="1"/>
      <c r="V144" s="6" t="b">
        <v>1</v>
      </c>
      <c r="W144" s="1"/>
    </row>
    <row r="145" ht="15.75" customHeight="1">
      <c r="A145" s="2" t="s">
        <v>1190</v>
      </c>
      <c r="B145" s="2" t="s">
        <v>1190</v>
      </c>
      <c r="C145" s="2" t="s">
        <v>1191</v>
      </c>
      <c r="D145" s="2" t="s">
        <v>1190</v>
      </c>
      <c r="E145" s="1" t="s">
        <v>729</v>
      </c>
      <c r="F145" s="1" t="s">
        <v>729</v>
      </c>
      <c r="G145" s="1" t="s">
        <v>207</v>
      </c>
      <c r="H145" s="1" t="str">
        <f>IFERROR(__xludf.DUMMYFUNCTION("""COMPUTED_VALUE"""),"Reyee Network")</f>
        <v>Reyee Network</v>
      </c>
      <c r="I145" s="1" t="s">
        <v>207</v>
      </c>
      <c r="J145" s="13">
        <v>3750.0</v>
      </c>
      <c r="K145" s="16" t="s">
        <v>1192</v>
      </c>
      <c r="L145" s="16" t="s">
        <v>1193</v>
      </c>
      <c r="M145" s="16" t="s">
        <v>1194</v>
      </c>
      <c r="N145" s="2" t="s">
        <v>1191</v>
      </c>
      <c r="O145" s="2" t="s">
        <v>1195</v>
      </c>
      <c r="P145" s="2" t="s">
        <v>1196</v>
      </c>
      <c r="Q145" s="1" t="s">
        <v>1098</v>
      </c>
      <c r="R145" s="1"/>
      <c r="S145" s="7">
        <v>0.0</v>
      </c>
      <c r="T145" s="7">
        <v>0.0</v>
      </c>
      <c r="U145" s="1"/>
      <c r="V145" s="6" t="b">
        <v>1</v>
      </c>
      <c r="W145" s="1"/>
    </row>
    <row r="146" ht="15.75" customHeight="1">
      <c r="A146" s="2" t="s">
        <v>1197</v>
      </c>
      <c r="B146" s="2" t="s">
        <v>1197</v>
      </c>
      <c r="C146" s="2" t="s">
        <v>1198</v>
      </c>
      <c r="D146" s="2" t="s">
        <v>1197</v>
      </c>
      <c r="E146" s="1" t="s">
        <v>729</v>
      </c>
      <c r="F146" s="1" t="s">
        <v>729</v>
      </c>
      <c r="G146" s="1" t="s">
        <v>207</v>
      </c>
      <c r="H146" s="1" t="str">
        <f>IFERROR(__xludf.DUMMYFUNCTION("""COMPUTED_VALUE"""),"Reyee Network")</f>
        <v>Reyee Network</v>
      </c>
      <c r="I146" s="1" t="s">
        <v>207</v>
      </c>
      <c r="J146" s="13">
        <v>9890.0</v>
      </c>
      <c r="K146" s="16" t="s">
        <v>1199</v>
      </c>
      <c r="L146" s="16" t="s">
        <v>1200</v>
      </c>
      <c r="M146" s="16" t="s">
        <v>1201</v>
      </c>
      <c r="N146" s="2" t="s">
        <v>1198</v>
      </c>
      <c r="O146" s="2" t="s">
        <v>1202</v>
      </c>
      <c r="P146" s="2" t="s">
        <v>1203</v>
      </c>
      <c r="Q146" s="1" t="s">
        <v>1098</v>
      </c>
      <c r="R146" s="1"/>
      <c r="S146" s="7">
        <v>0.0</v>
      </c>
      <c r="T146" s="7">
        <v>0.0</v>
      </c>
      <c r="U146" s="1"/>
      <c r="V146" s="6" t="b">
        <v>1</v>
      </c>
      <c r="W146" s="1"/>
    </row>
    <row r="147" ht="15.75" customHeight="1">
      <c r="A147" s="1"/>
      <c r="B147" s="1"/>
      <c r="C147" s="1"/>
      <c r="D147" s="1"/>
      <c r="E147" s="1"/>
      <c r="F147" s="1"/>
      <c r="G147" s="1"/>
      <c r="H147" s="1" t="str">
        <f>IFERROR(__xludf.DUMMYFUNCTION("""COMPUTED_VALUE"""),"")</f>
        <v/>
      </c>
      <c r="I147" s="1" t="s">
        <v>170</v>
      </c>
      <c r="J147" s="3"/>
      <c r="K147" s="10"/>
      <c r="L147" s="10"/>
      <c r="M147" s="10"/>
      <c r="N147" s="1"/>
      <c r="O147" s="1"/>
      <c r="P147" s="1"/>
      <c r="Q147" s="1"/>
      <c r="R147" s="1"/>
      <c r="S147" s="7"/>
      <c r="T147" s="7"/>
      <c r="U147" s="1"/>
      <c r="V147" s="6"/>
      <c r="W147" s="1"/>
    </row>
    <row r="148" ht="15.75" customHeight="1">
      <c r="A148" s="2" t="s">
        <v>1204</v>
      </c>
      <c r="B148" s="2" t="s">
        <v>1204</v>
      </c>
      <c r="C148" s="2" t="s">
        <v>1205</v>
      </c>
      <c r="D148" s="2" t="s">
        <v>1204</v>
      </c>
      <c r="E148" s="1" t="s">
        <v>729</v>
      </c>
      <c r="F148" s="1" t="s">
        <v>729</v>
      </c>
      <c r="G148" s="2" t="s">
        <v>1206</v>
      </c>
      <c r="H148" s="2" t="str">
        <f>IFERROR(__xludf.DUMMYFUNCTION("""COMPUTED_VALUE"""),"Reyee Network")</f>
        <v>Reyee Network</v>
      </c>
      <c r="I148" s="2" t="s">
        <v>1206</v>
      </c>
      <c r="J148" s="13">
        <v>0.0</v>
      </c>
      <c r="K148" s="16" t="s">
        <v>1207</v>
      </c>
      <c r="L148" s="16" t="s">
        <v>1208</v>
      </c>
      <c r="M148" s="16" t="s">
        <v>1209</v>
      </c>
      <c r="N148" s="2" t="s">
        <v>1205</v>
      </c>
      <c r="O148" s="2" t="s">
        <v>1210</v>
      </c>
      <c r="P148" s="2" t="s">
        <v>1211</v>
      </c>
      <c r="Q148" s="2" t="s">
        <v>1212</v>
      </c>
      <c r="R148" s="1"/>
      <c r="S148" s="7">
        <v>0.0</v>
      </c>
      <c r="T148" s="7">
        <v>0.0</v>
      </c>
      <c r="U148" s="1"/>
      <c r="V148" s="6" t="b">
        <v>1</v>
      </c>
      <c r="W148" s="1"/>
    </row>
    <row r="149" ht="15.75" customHeight="1">
      <c r="A149" s="2" t="s">
        <v>1213</v>
      </c>
      <c r="B149" s="2" t="s">
        <v>1213</v>
      </c>
      <c r="C149" s="2" t="s">
        <v>1214</v>
      </c>
      <c r="D149" s="2" t="s">
        <v>1213</v>
      </c>
      <c r="E149" s="1" t="s">
        <v>729</v>
      </c>
      <c r="F149" s="1" t="s">
        <v>729</v>
      </c>
      <c r="G149" s="2" t="s">
        <v>1206</v>
      </c>
      <c r="H149" s="2" t="str">
        <f>IFERROR(__xludf.DUMMYFUNCTION("""COMPUTED_VALUE"""),"Reyee Network")</f>
        <v>Reyee Network</v>
      </c>
      <c r="I149" s="2" t="s">
        <v>1206</v>
      </c>
      <c r="J149" s="13">
        <v>28600.0</v>
      </c>
      <c r="K149" s="16" t="s">
        <v>1215</v>
      </c>
      <c r="L149" s="17" t="s">
        <v>1216</v>
      </c>
      <c r="M149" s="16" t="s">
        <v>1217</v>
      </c>
      <c r="N149" s="2" t="s">
        <v>1214</v>
      </c>
      <c r="O149" s="2" t="s">
        <v>1218</v>
      </c>
      <c r="P149" s="2" t="s">
        <v>1219</v>
      </c>
      <c r="Q149" s="2" t="s">
        <v>1212</v>
      </c>
      <c r="R149" s="1"/>
      <c r="S149" s="7">
        <v>0.0</v>
      </c>
      <c r="T149" s="7">
        <v>0.0</v>
      </c>
      <c r="U149" s="1"/>
      <c r="V149" s="6" t="b">
        <v>1</v>
      </c>
      <c r="W149" s="1"/>
    </row>
    <row r="150" ht="15.75" customHeight="1">
      <c r="A150" s="2" t="s">
        <v>1220</v>
      </c>
      <c r="B150" s="2" t="s">
        <v>1220</v>
      </c>
      <c r="C150" s="2" t="s">
        <v>1221</v>
      </c>
      <c r="D150" s="2" t="s">
        <v>1220</v>
      </c>
      <c r="E150" s="1" t="s">
        <v>729</v>
      </c>
      <c r="F150" s="1" t="s">
        <v>729</v>
      </c>
      <c r="G150" s="2" t="s">
        <v>1206</v>
      </c>
      <c r="H150" s="2" t="str">
        <f>IFERROR(__xludf.DUMMYFUNCTION("""COMPUTED_VALUE"""),"Reyee Network")</f>
        <v>Reyee Network</v>
      </c>
      <c r="I150" s="2" t="s">
        <v>1206</v>
      </c>
      <c r="J150" s="13">
        <v>18900.0</v>
      </c>
      <c r="K150" s="16" t="s">
        <v>1222</v>
      </c>
      <c r="L150" s="16" t="s">
        <v>1223</v>
      </c>
      <c r="M150" s="17" t="s">
        <v>1224</v>
      </c>
      <c r="N150" s="2" t="s">
        <v>1221</v>
      </c>
      <c r="O150" s="2" t="s">
        <v>1225</v>
      </c>
      <c r="P150" s="2" t="s">
        <v>1226</v>
      </c>
      <c r="Q150" s="2" t="s">
        <v>1212</v>
      </c>
      <c r="R150" s="1"/>
      <c r="S150" s="7">
        <v>0.0</v>
      </c>
      <c r="T150" s="7">
        <v>0.0</v>
      </c>
      <c r="U150" s="1"/>
      <c r="V150" s="6" t="b">
        <v>1</v>
      </c>
      <c r="W150" s="1"/>
    </row>
    <row r="151" ht="15.75" customHeight="1">
      <c r="A151" s="2" t="s">
        <v>1227</v>
      </c>
      <c r="B151" s="2" t="s">
        <v>1227</v>
      </c>
      <c r="C151" s="2" t="s">
        <v>1228</v>
      </c>
      <c r="D151" s="2" t="s">
        <v>1227</v>
      </c>
      <c r="E151" s="1" t="s">
        <v>729</v>
      </c>
      <c r="F151" s="1" t="s">
        <v>729</v>
      </c>
      <c r="G151" s="2" t="s">
        <v>1206</v>
      </c>
      <c r="H151" s="2" t="str">
        <f>IFERROR(__xludf.DUMMYFUNCTION("""COMPUTED_VALUE"""),"Reyee Network")</f>
        <v>Reyee Network</v>
      </c>
      <c r="I151" s="2" t="s">
        <v>1206</v>
      </c>
      <c r="J151" s="13">
        <v>20860.0</v>
      </c>
      <c r="K151" s="16" t="s">
        <v>1229</v>
      </c>
      <c r="L151" s="16" t="s">
        <v>1230</v>
      </c>
      <c r="M151" s="16" t="s">
        <v>1231</v>
      </c>
      <c r="N151" s="2" t="s">
        <v>1228</v>
      </c>
      <c r="O151" s="2" t="s">
        <v>1232</v>
      </c>
      <c r="P151" s="2" t="s">
        <v>1233</v>
      </c>
      <c r="Q151" s="2" t="s">
        <v>1212</v>
      </c>
      <c r="R151" s="1"/>
      <c r="S151" s="7">
        <v>0.0</v>
      </c>
      <c r="T151" s="7">
        <v>0.0</v>
      </c>
      <c r="U151" s="1"/>
      <c r="V151" s="6" t="b">
        <v>1</v>
      </c>
      <c r="W151" s="1"/>
    </row>
    <row r="152" ht="15.75" customHeight="1">
      <c r="A152" s="2" t="s">
        <v>1234</v>
      </c>
      <c r="B152" s="2" t="s">
        <v>1234</v>
      </c>
      <c r="C152" s="2" t="s">
        <v>1235</v>
      </c>
      <c r="D152" s="2" t="s">
        <v>1234</v>
      </c>
      <c r="E152" s="1" t="s">
        <v>729</v>
      </c>
      <c r="F152" s="1" t="s">
        <v>729</v>
      </c>
      <c r="G152" s="2" t="s">
        <v>1206</v>
      </c>
      <c r="H152" s="2" t="str">
        <f>IFERROR(__xludf.DUMMYFUNCTION("""COMPUTED_VALUE"""),"Reyee Network")</f>
        <v>Reyee Network</v>
      </c>
      <c r="I152" s="2" t="s">
        <v>1206</v>
      </c>
      <c r="J152" s="13">
        <v>0.0</v>
      </c>
      <c r="K152" s="16" t="s">
        <v>1236</v>
      </c>
      <c r="L152" s="16" t="s">
        <v>1237</v>
      </c>
      <c r="M152" s="17" t="s">
        <v>1238</v>
      </c>
      <c r="N152" s="2" t="s">
        <v>1235</v>
      </c>
      <c r="O152" s="2" t="s">
        <v>1239</v>
      </c>
      <c r="P152" s="2" t="s">
        <v>1240</v>
      </c>
      <c r="Q152" s="2" t="s">
        <v>1212</v>
      </c>
      <c r="R152" s="1"/>
      <c r="S152" s="7">
        <v>0.0</v>
      </c>
      <c r="T152" s="7">
        <v>0.0</v>
      </c>
      <c r="U152" s="1"/>
      <c r="V152" s="6" t="b">
        <v>1</v>
      </c>
      <c r="W152" s="1"/>
    </row>
    <row r="153" ht="15.75" customHeight="1">
      <c r="A153" s="2" t="s">
        <v>1241</v>
      </c>
      <c r="B153" s="2" t="s">
        <v>1241</v>
      </c>
      <c r="C153" s="2" t="s">
        <v>1242</v>
      </c>
      <c r="D153" s="2" t="s">
        <v>1241</v>
      </c>
      <c r="E153" s="1" t="s">
        <v>729</v>
      </c>
      <c r="F153" s="1" t="s">
        <v>729</v>
      </c>
      <c r="G153" s="2" t="s">
        <v>1206</v>
      </c>
      <c r="H153" s="2" t="str">
        <f>IFERROR(__xludf.DUMMYFUNCTION("""COMPUTED_VALUE"""),"Reyee Network")</f>
        <v>Reyee Network</v>
      </c>
      <c r="I153" s="2" t="s">
        <v>1206</v>
      </c>
      <c r="J153" s="13">
        <v>5180.0</v>
      </c>
      <c r="K153" s="16" t="s">
        <v>1243</v>
      </c>
      <c r="L153" s="16" t="s">
        <v>1244</v>
      </c>
      <c r="M153" s="16" t="s">
        <v>1245</v>
      </c>
      <c r="N153" s="2" t="s">
        <v>1242</v>
      </c>
      <c r="O153" s="2" t="s">
        <v>1246</v>
      </c>
      <c r="P153" s="2" t="s">
        <v>1247</v>
      </c>
      <c r="Q153" s="2" t="s">
        <v>1212</v>
      </c>
      <c r="R153" s="1"/>
      <c r="S153" s="7">
        <v>0.0</v>
      </c>
      <c r="T153" s="7">
        <v>0.0</v>
      </c>
      <c r="U153" s="1"/>
      <c r="V153" s="6" t="b">
        <v>1</v>
      </c>
      <c r="W153" s="1"/>
    </row>
    <row r="154" ht="15.75" customHeight="1">
      <c r="A154" s="1"/>
      <c r="B154" s="1"/>
      <c r="C154" s="1"/>
      <c r="D154" s="1"/>
      <c r="E154" s="1" t="s">
        <v>729</v>
      </c>
      <c r="F154" s="1" t="s">
        <v>729</v>
      </c>
      <c r="G154" s="2" t="s">
        <v>1206</v>
      </c>
      <c r="H154" s="2" t="str">
        <f>IFERROR(__xludf.DUMMYFUNCTION("""COMPUTED_VALUE"""),"")</f>
        <v/>
      </c>
      <c r="I154" s="2" t="s">
        <v>170</v>
      </c>
      <c r="J154" s="3"/>
      <c r="K154" s="10"/>
      <c r="L154" s="10"/>
      <c r="M154" s="10"/>
      <c r="N154" s="1"/>
      <c r="O154" s="1"/>
      <c r="P154" s="2" t="s">
        <v>1247</v>
      </c>
      <c r="Q154" s="2" t="s">
        <v>1212</v>
      </c>
      <c r="R154" s="1"/>
      <c r="S154" s="7">
        <v>0.0</v>
      </c>
      <c r="T154" s="7">
        <v>0.0</v>
      </c>
      <c r="U154" s="1"/>
      <c r="V154" s="6" t="b">
        <v>1</v>
      </c>
      <c r="W154" s="1"/>
    </row>
    <row r="155" ht="15.75" customHeight="1">
      <c r="A155" s="1"/>
      <c r="B155" s="1"/>
      <c r="C155" s="1"/>
      <c r="D155" s="1"/>
      <c r="E155" s="1" t="s">
        <v>729</v>
      </c>
      <c r="F155" s="1" t="s">
        <v>729</v>
      </c>
      <c r="G155" s="2" t="s">
        <v>1206</v>
      </c>
      <c r="H155" s="2" t="str">
        <f>IFERROR(__xludf.DUMMYFUNCTION("""COMPUTED_VALUE"""),"")</f>
        <v/>
      </c>
      <c r="I155" s="2" t="s">
        <v>170</v>
      </c>
      <c r="J155" s="3"/>
      <c r="K155" s="10"/>
      <c r="L155" s="10"/>
      <c r="M155" s="10"/>
      <c r="N155" s="1"/>
      <c r="O155" s="1"/>
      <c r="P155" s="1"/>
      <c r="Q155" s="2" t="s">
        <v>1212</v>
      </c>
      <c r="R155" s="1"/>
      <c r="S155" s="7">
        <v>0.0</v>
      </c>
      <c r="T155" s="7">
        <v>0.0</v>
      </c>
      <c r="U155" s="1"/>
      <c r="V155" s="6" t="b">
        <v>1</v>
      </c>
      <c r="W155" s="1"/>
    </row>
    <row r="156" ht="15.75" customHeight="1">
      <c r="A156" s="1"/>
      <c r="B156" s="1"/>
      <c r="C156" s="1"/>
      <c r="D156" s="1"/>
      <c r="E156" s="1" t="s">
        <v>729</v>
      </c>
      <c r="F156" s="1" t="s">
        <v>729</v>
      </c>
      <c r="G156" s="2" t="s">
        <v>1206</v>
      </c>
      <c r="H156" s="2" t="str">
        <f>IFERROR(__xludf.DUMMYFUNCTION("""COMPUTED_VALUE"""),"")</f>
        <v/>
      </c>
      <c r="I156" s="2" t="s">
        <v>170</v>
      </c>
      <c r="J156" s="3"/>
      <c r="K156" s="10"/>
      <c r="L156" s="10"/>
      <c r="M156" s="10"/>
      <c r="N156" s="1"/>
      <c r="O156" s="1"/>
      <c r="P156" s="1"/>
      <c r="Q156" s="2" t="s">
        <v>1212</v>
      </c>
      <c r="R156" s="1"/>
      <c r="S156" s="7">
        <v>0.0</v>
      </c>
      <c r="T156" s="7">
        <v>0.0</v>
      </c>
      <c r="U156" s="1"/>
      <c r="V156" s="6" t="b">
        <v>1</v>
      </c>
      <c r="W156" s="1"/>
    </row>
    <row r="157" ht="15.75" customHeight="1">
      <c r="A157" s="1"/>
      <c r="B157" s="1"/>
      <c r="C157" s="1"/>
      <c r="D157" s="1"/>
      <c r="E157" s="1"/>
      <c r="F157" s="1"/>
      <c r="G157" s="1"/>
      <c r="H157" s="1" t="str">
        <f>IFERROR(__xludf.DUMMYFUNCTION("""COMPUTED_VALUE"""),"")</f>
        <v/>
      </c>
      <c r="I157" s="1" t="s">
        <v>170</v>
      </c>
      <c r="J157" s="3"/>
      <c r="K157" s="10"/>
      <c r="L157" s="10"/>
      <c r="M157" s="10"/>
      <c r="N157" s="1"/>
      <c r="O157" s="1"/>
      <c r="P157" s="1"/>
      <c r="Q157" s="1"/>
      <c r="R157" s="1"/>
      <c r="S157" s="7"/>
      <c r="T157" s="7"/>
      <c r="U157" s="1"/>
      <c r="V157" s="6"/>
      <c r="W157" s="1"/>
    </row>
    <row r="158" ht="15.75" customHeight="1">
      <c r="A158" s="1"/>
      <c r="B158" s="1"/>
      <c r="C158" s="1"/>
      <c r="D158" s="1"/>
      <c r="E158" s="1"/>
      <c r="F158" s="1"/>
      <c r="G158" s="1"/>
      <c r="H158" s="1" t="str">
        <f>IFERROR(__xludf.DUMMYFUNCTION("""COMPUTED_VALUE"""),"")</f>
        <v/>
      </c>
      <c r="I158" s="1" t="s">
        <v>170</v>
      </c>
      <c r="J158" s="3"/>
      <c r="K158" s="10"/>
      <c r="L158" s="10"/>
      <c r="M158" s="10"/>
      <c r="N158" s="1"/>
      <c r="O158" s="1"/>
      <c r="P158" s="1"/>
      <c r="Q158" s="1"/>
      <c r="R158" s="1"/>
      <c r="S158" s="7"/>
      <c r="T158" s="7"/>
      <c r="U158" s="1"/>
      <c r="V158" s="6"/>
      <c r="W158" s="1"/>
    </row>
    <row r="159" ht="15.75" customHeight="1">
      <c r="A159" s="1" t="s">
        <v>1248</v>
      </c>
      <c r="B159" s="1" t="s">
        <v>1249</v>
      </c>
      <c r="C159" s="1" t="s">
        <v>1250</v>
      </c>
      <c r="D159" s="1" t="s">
        <v>1249</v>
      </c>
      <c r="E159" s="1" t="s">
        <v>1251</v>
      </c>
      <c r="F159" s="1" t="s">
        <v>1251</v>
      </c>
      <c r="G159" s="1" t="s">
        <v>207</v>
      </c>
      <c r="H159" s="1" t="str">
        <f>IFERROR(__xludf.DUMMYFUNCTION("""COMPUTED_VALUE"""),"Ubiquiti Networks")</f>
        <v>Ubiquiti Networks</v>
      </c>
      <c r="I159" s="1" t="s">
        <v>207</v>
      </c>
      <c r="J159" s="3">
        <v>2590.0</v>
      </c>
      <c r="K159" s="10" t="s">
        <v>1252</v>
      </c>
      <c r="L159" s="1"/>
      <c r="M159" s="1"/>
      <c r="N159" s="1" t="s">
        <v>1253</v>
      </c>
      <c r="O159" s="1" t="s">
        <v>1254</v>
      </c>
      <c r="P159" s="1" t="s">
        <v>1255</v>
      </c>
      <c r="Q159" s="1" t="s">
        <v>1256</v>
      </c>
      <c r="R159" s="1"/>
      <c r="S159" s="7">
        <v>0.0</v>
      </c>
      <c r="T159" s="7">
        <v>0.0</v>
      </c>
      <c r="U159" s="1"/>
      <c r="V159" s="6" t="b">
        <v>1</v>
      </c>
    </row>
    <row r="160" ht="15.75" customHeight="1">
      <c r="A160" s="1" t="s">
        <v>1257</v>
      </c>
      <c r="B160" s="1" t="s">
        <v>1258</v>
      </c>
      <c r="C160" s="1" t="s">
        <v>1259</v>
      </c>
      <c r="D160" s="1" t="s">
        <v>1258</v>
      </c>
      <c r="E160" s="1" t="s">
        <v>1251</v>
      </c>
      <c r="F160" s="1" t="s">
        <v>1251</v>
      </c>
      <c r="G160" s="1" t="s">
        <v>207</v>
      </c>
      <c r="H160" s="1" t="str">
        <f>IFERROR(__xludf.DUMMYFUNCTION("""COMPUTED_VALUE"""),"Ubiquiti Networks")</f>
        <v>Ubiquiti Networks</v>
      </c>
      <c r="I160" s="1" t="s">
        <v>207</v>
      </c>
      <c r="J160" s="3">
        <v>31900.0</v>
      </c>
      <c r="K160" s="10" t="s">
        <v>1260</v>
      </c>
      <c r="L160" s="1"/>
      <c r="M160" s="1"/>
      <c r="N160" s="1" t="s">
        <v>1261</v>
      </c>
      <c r="O160" s="1" t="s">
        <v>1262</v>
      </c>
      <c r="P160" s="1" t="s">
        <v>1263</v>
      </c>
      <c r="Q160" s="1" t="s">
        <v>1264</v>
      </c>
      <c r="R160" s="1" t="s">
        <v>35</v>
      </c>
      <c r="S160" s="7">
        <v>0.0</v>
      </c>
      <c r="T160" s="7">
        <v>0.0</v>
      </c>
      <c r="U160" s="1"/>
      <c r="V160" s="6" t="b">
        <v>1</v>
      </c>
    </row>
    <row r="161" ht="15.75" customHeight="1">
      <c r="A161" s="1" t="s">
        <v>1265</v>
      </c>
      <c r="B161" s="1" t="s">
        <v>1266</v>
      </c>
      <c r="C161" s="1" t="s">
        <v>1267</v>
      </c>
      <c r="D161" s="1" t="s">
        <v>1266</v>
      </c>
      <c r="E161" s="1" t="s">
        <v>1251</v>
      </c>
      <c r="F161" s="1" t="s">
        <v>1251</v>
      </c>
      <c r="G161" s="1" t="s">
        <v>207</v>
      </c>
      <c r="H161" s="1" t="str">
        <f>IFERROR(__xludf.DUMMYFUNCTION("""COMPUTED_VALUE"""),"Ubiquiti Networks")</f>
        <v>Ubiquiti Networks</v>
      </c>
      <c r="I161" s="1" t="s">
        <v>207</v>
      </c>
      <c r="J161" s="3">
        <v>15790.0</v>
      </c>
      <c r="K161" s="10" t="s">
        <v>1268</v>
      </c>
      <c r="L161" s="1"/>
      <c r="M161" s="1"/>
      <c r="N161" s="1" t="s">
        <v>1269</v>
      </c>
      <c r="O161" s="1" t="s">
        <v>1270</v>
      </c>
      <c r="P161" s="1" t="s">
        <v>1271</v>
      </c>
      <c r="Q161" s="1" t="s">
        <v>1272</v>
      </c>
      <c r="R161" s="1" t="s">
        <v>35</v>
      </c>
      <c r="S161" s="7">
        <v>0.0</v>
      </c>
      <c r="T161" s="7">
        <v>0.0</v>
      </c>
      <c r="U161" s="1"/>
      <c r="V161" s="6" t="b">
        <v>1</v>
      </c>
    </row>
    <row r="162" ht="15.75" customHeight="1">
      <c r="A162" s="1" t="s">
        <v>1273</v>
      </c>
      <c r="B162" s="1" t="s">
        <v>1274</v>
      </c>
      <c r="C162" s="1" t="s">
        <v>1275</v>
      </c>
      <c r="D162" s="1" t="s">
        <v>1274</v>
      </c>
      <c r="E162" s="1" t="s">
        <v>1251</v>
      </c>
      <c r="F162" s="1" t="s">
        <v>1251</v>
      </c>
      <c r="G162" s="1" t="s">
        <v>207</v>
      </c>
      <c r="H162" s="1" t="str">
        <f>IFERROR(__xludf.DUMMYFUNCTION("""COMPUTED_VALUE"""),"Ubiquiti Networks")</f>
        <v>Ubiquiti Networks</v>
      </c>
      <c r="I162" s="1" t="s">
        <v>207</v>
      </c>
      <c r="J162" s="3">
        <v>32900.0</v>
      </c>
      <c r="K162" s="10" t="s">
        <v>1276</v>
      </c>
      <c r="L162" s="1"/>
      <c r="M162" s="1"/>
      <c r="N162" s="1" t="s">
        <v>1277</v>
      </c>
      <c r="O162" s="1" t="s">
        <v>1278</v>
      </c>
      <c r="P162" s="1" t="s">
        <v>1279</v>
      </c>
      <c r="Q162" s="1" t="s">
        <v>1280</v>
      </c>
      <c r="R162" s="1"/>
      <c r="S162" s="7">
        <v>0.0</v>
      </c>
      <c r="T162" s="7">
        <v>0.0</v>
      </c>
      <c r="U162" s="1"/>
      <c r="V162" s="6" t="b">
        <v>1</v>
      </c>
    </row>
    <row r="163" ht="15.75" customHeight="1">
      <c r="A163" s="1" t="s">
        <v>1281</v>
      </c>
      <c r="B163" s="1" t="s">
        <v>1282</v>
      </c>
      <c r="C163" s="1" t="s">
        <v>1283</v>
      </c>
      <c r="D163" s="1" t="s">
        <v>1282</v>
      </c>
      <c r="E163" s="1" t="s">
        <v>1251</v>
      </c>
      <c r="F163" s="1" t="s">
        <v>1251</v>
      </c>
      <c r="G163" s="1" t="s">
        <v>207</v>
      </c>
      <c r="H163" s="1" t="str">
        <f>IFERROR(__xludf.DUMMYFUNCTION("""COMPUTED_VALUE"""),"Ubiquiti Networks")</f>
        <v>Ubiquiti Networks</v>
      </c>
      <c r="I163" s="1" t="s">
        <v>207</v>
      </c>
      <c r="J163" s="3">
        <v>8879.0</v>
      </c>
      <c r="K163" s="10" t="s">
        <v>1284</v>
      </c>
      <c r="L163" s="1"/>
      <c r="M163" s="1"/>
      <c r="N163" s="1" t="s">
        <v>1285</v>
      </c>
      <c r="O163" s="1" t="s">
        <v>1286</v>
      </c>
      <c r="P163" s="1" t="s">
        <v>1287</v>
      </c>
      <c r="Q163" s="1" t="s">
        <v>1288</v>
      </c>
      <c r="R163" s="1"/>
      <c r="S163" s="7">
        <v>0.0</v>
      </c>
      <c r="T163" s="7">
        <v>0.0</v>
      </c>
      <c r="U163" s="1"/>
      <c r="V163" s="6" t="b">
        <v>1</v>
      </c>
    </row>
    <row r="164" ht="15.75" customHeight="1">
      <c r="A164" s="1" t="s">
        <v>1289</v>
      </c>
      <c r="B164" s="1" t="s">
        <v>1290</v>
      </c>
      <c r="C164" s="1" t="s">
        <v>1291</v>
      </c>
      <c r="D164" s="1" t="s">
        <v>1290</v>
      </c>
      <c r="E164" s="1" t="s">
        <v>1251</v>
      </c>
      <c r="F164" s="1" t="s">
        <v>1251</v>
      </c>
      <c r="G164" s="1" t="s">
        <v>207</v>
      </c>
      <c r="H164" s="1" t="str">
        <f>IFERROR(__xludf.DUMMYFUNCTION("""COMPUTED_VALUE"""),"Ubiquiti Networks")</f>
        <v>Ubiquiti Networks</v>
      </c>
      <c r="I164" s="1" t="s">
        <v>207</v>
      </c>
      <c r="J164" s="3">
        <v>8150.0</v>
      </c>
      <c r="K164" s="10" t="s">
        <v>1292</v>
      </c>
      <c r="L164" s="1"/>
      <c r="M164" s="1"/>
      <c r="N164" s="1" t="s">
        <v>1293</v>
      </c>
      <c r="O164" s="1" t="s">
        <v>1294</v>
      </c>
      <c r="P164" s="1" t="s">
        <v>1295</v>
      </c>
      <c r="Q164" s="1" t="s">
        <v>1296</v>
      </c>
      <c r="R164" s="1"/>
      <c r="S164" s="7">
        <v>0.0</v>
      </c>
      <c r="T164" s="7">
        <v>0.0</v>
      </c>
      <c r="U164" s="1"/>
      <c r="V164" s="6" t="b">
        <v>1</v>
      </c>
    </row>
    <row r="165" ht="15.75" customHeight="1">
      <c r="A165" s="1" t="s">
        <v>1297</v>
      </c>
      <c r="B165" s="1" t="s">
        <v>1298</v>
      </c>
      <c r="C165" s="1" t="s">
        <v>1299</v>
      </c>
      <c r="D165" s="1" t="s">
        <v>1298</v>
      </c>
      <c r="E165" s="1" t="s">
        <v>1251</v>
      </c>
      <c r="F165" s="1" t="s">
        <v>1251</v>
      </c>
      <c r="G165" s="1" t="s">
        <v>207</v>
      </c>
      <c r="H165" s="1" t="str">
        <f>IFERROR(__xludf.DUMMYFUNCTION("""COMPUTED_VALUE"""),"Ubiquiti Networks")</f>
        <v>Ubiquiti Networks</v>
      </c>
      <c r="I165" s="1" t="s">
        <v>207</v>
      </c>
      <c r="J165" s="3">
        <v>7150.0</v>
      </c>
      <c r="K165" s="10" t="s">
        <v>1300</v>
      </c>
      <c r="L165" s="1"/>
      <c r="M165" s="1"/>
      <c r="N165" s="1" t="s">
        <v>1301</v>
      </c>
      <c r="O165" s="1" t="s">
        <v>1302</v>
      </c>
      <c r="P165" s="1" t="s">
        <v>1303</v>
      </c>
      <c r="Q165" s="1" t="s">
        <v>1296</v>
      </c>
      <c r="R165" s="1"/>
      <c r="S165" s="7">
        <v>0.0</v>
      </c>
      <c r="T165" s="7">
        <v>0.0</v>
      </c>
      <c r="U165" s="1"/>
      <c r="V165" s="6" t="b">
        <v>1</v>
      </c>
    </row>
    <row r="166" ht="15.75" customHeight="1">
      <c r="A166" s="1" t="s">
        <v>1304</v>
      </c>
      <c r="B166" s="1" t="s">
        <v>1305</v>
      </c>
      <c r="C166" s="1" t="s">
        <v>1306</v>
      </c>
      <c r="D166" s="1" t="s">
        <v>1305</v>
      </c>
      <c r="E166" s="1" t="s">
        <v>1251</v>
      </c>
      <c r="F166" s="1" t="s">
        <v>1251</v>
      </c>
      <c r="G166" s="1" t="s">
        <v>207</v>
      </c>
      <c r="H166" s="1" t="str">
        <f>IFERROR(__xludf.DUMMYFUNCTION("""COMPUTED_VALUE"""),"Ubiquiti Networks")</f>
        <v>Ubiquiti Networks</v>
      </c>
      <c r="I166" s="1" t="s">
        <v>207</v>
      </c>
      <c r="J166" s="3">
        <v>24900.0</v>
      </c>
      <c r="K166" s="10" t="s">
        <v>1307</v>
      </c>
      <c r="L166" s="1"/>
      <c r="M166" s="1"/>
      <c r="N166" s="1" t="s">
        <v>1308</v>
      </c>
      <c r="O166" s="1" t="s">
        <v>1309</v>
      </c>
      <c r="P166" s="1" t="s">
        <v>1310</v>
      </c>
      <c r="Q166" s="1" t="s">
        <v>1311</v>
      </c>
      <c r="R166" s="1"/>
      <c r="S166" s="7">
        <v>0.0</v>
      </c>
      <c r="T166" s="7">
        <v>0.0</v>
      </c>
      <c r="U166" s="1"/>
      <c r="V166" s="6" t="b">
        <v>1</v>
      </c>
    </row>
    <row r="167" ht="15.75" customHeight="1">
      <c r="A167" s="1" t="s">
        <v>1312</v>
      </c>
      <c r="B167" s="1" t="s">
        <v>1313</v>
      </c>
      <c r="C167" s="1" t="s">
        <v>1314</v>
      </c>
      <c r="D167" s="1" t="s">
        <v>1313</v>
      </c>
      <c r="E167" s="1" t="s">
        <v>1251</v>
      </c>
      <c r="F167" s="1" t="s">
        <v>1251</v>
      </c>
      <c r="G167" s="1" t="s">
        <v>207</v>
      </c>
      <c r="H167" s="1" t="str">
        <f>IFERROR(__xludf.DUMMYFUNCTION("""COMPUTED_VALUE"""),"Ubiquiti Networks")</f>
        <v>Ubiquiti Networks</v>
      </c>
      <c r="I167" s="1" t="s">
        <v>207</v>
      </c>
      <c r="J167" s="3">
        <v>4950.0</v>
      </c>
      <c r="K167" s="10" t="s">
        <v>1315</v>
      </c>
      <c r="L167" s="1"/>
      <c r="M167" s="1"/>
      <c r="N167" s="1" t="s">
        <v>1316</v>
      </c>
      <c r="O167" s="1" t="s">
        <v>1317</v>
      </c>
      <c r="P167" s="1" t="s">
        <v>1318</v>
      </c>
      <c r="Q167" s="1" t="s">
        <v>1319</v>
      </c>
      <c r="R167" s="1"/>
      <c r="S167" s="7">
        <v>0.0</v>
      </c>
      <c r="T167" s="7">
        <v>0.0</v>
      </c>
      <c r="U167" s="1"/>
      <c r="V167" s="6" t="b">
        <v>1</v>
      </c>
    </row>
    <row r="168" ht="15.75" customHeight="1">
      <c r="A168" s="1" t="s">
        <v>1320</v>
      </c>
      <c r="B168" s="1" t="s">
        <v>1321</v>
      </c>
      <c r="C168" s="1" t="s">
        <v>1322</v>
      </c>
      <c r="D168" s="1" t="s">
        <v>1321</v>
      </c>
      <c r="E168" s="1" t="s">
        <v>1251</v>
      </c>
      <c r="F168" s="1" t="s">
        <v>1251</v>
      </c>
      <c r="G168" s="1" t="s">
        <v>207</v>
      </c>
      <c r="H168" s="1" t="str">
        <f>IFERROR(__xludf.DUMMYFUNCTION("""COMPUTED_VALUE"""),"Ubiquiti Networks")</f>
        <v>Ubiquiti Networks</v>
      </c>
      <c r="I168" s="1" t="s">
        <v>207</v>
      </c>
      <c r="J168" s="3">
        <v>7990.0</v>
      </c>
      <c r="K168" s="10" t="s">
        <v>1323</v>
      </c>
      <c r="L168" s="1"/>
      <c r="M168" s="1"/>
      <c r="N168" s="1" t="s">
        <v>1324</v>
      </c>
      <c r="O168" s="1" t="s">
        <v>1325</v>
      </c>
      <c r="P168" s="1" t="s">
        <v>1326</v>
      </c>
      <c r="Q168" s="1" t="s">
        <v>1319</v>
      </c>
      <c r="R168" s="1"/>
      <c r="S168" s="7">
        <v>0.0</v>
      </c>
      <c r="T168" s="7">
        <v>0.0</v>
      </c>
      <c r="U168" s="1"/>
      <c r="V168" s="6" t="b">
        <v>1</v>
      </c>
    </row>
    <row r="169" ht="15.75" customHeight="1">
      <c r="A169" s="1" t="s">
        <v>1327</v>
      </c>
      <c r="B169" s="1" t="s">
        <v>1328</v>
      </c>
      <c r="C169" s="1" t="s">
        <v>1329</v>
      </c>
      <c r="D169" s="1" t="s">
        <v>1328</v>
      </c>
      <c r="E169" s="1" t="s">
        <v>1251</v>
      </c>
      <c r="F169" s="1" t="s">
        <v>1251</v>
      </c>
      <c r="G169" s="1" t="s">
        <v>207</v>
      </c>
      <c r="H169" s="1" t="str">
        <f>IFERROR(__xludf.DUMMYFUNCTION("""COMPUTED_VALUE"""),"Ubiquiti Networks")</f>
        <v>Ubiquiti Networks</v>
      </c>
      <c r="I169" s="1" t="s">
        <v>207</v>
      </c>
      <c r="J169" s="3">
        <v>1900.0</v>
      </c>
      <c r="K169" s="10" t="s">
        <v>1330</v>
      </c>
      <c r="L169" s="1"/>
      <c r="M169" s="1"/>
      <c r="N169" s="1" t="s">
        <v>1331</v>
      </c>
      <c r="O169" s="1" t="s">
        <v>1332</v>
      </c>
      <c r="P169" s="1" t="s">
        <v>1333</v>
      </c>
      <c r="Q169" s="1" t="s">
        <v>1334</v>
      </c>
      <c r="R169" s="1"/>
      <c r="S169" s="7">
        <v>0.0</v>
      </c>
      <c r="T169" s="7">
        <v>0.0</v>
      </c>
      <c r="U169" s="1"/>
      <c r="V169" s="6" t="b">
        <v>1</v>
      </c>
    </row>
    <row r="170" ht="15.75" customHeight="1">
      <c r="A170" s="1" t="s">
        <v>1335</v>
      </c>
      <c r="B170" s="1" t="s">
        <v>1336</v>
      </c>
      <c r="C170" s="1" t="s">
        <v>1337</v>
      </c>
      <c r="D170" s="1" t="s">
        <v>1336</v>
      </c>
      <c r="E170" s="1" t="s">
        <v>1251</v>
      </c>
      <c r="F170" s="1" t="s">
        <v>1251</v>
      </c>
      <c r="G170" s="1" t="s">
        <v>207</v>
      </c>
      <c r="H170" s="1" t="str">
        <f>IFERROR(__xludf.DUMMYFUNCTION("""COMPUTED_VALUE"""),"Ubiquiti Networks")</f>
        <v>Ubiquiti Networks</v>
      </c>
      <c r="I170" s="1" t="s">
        <v>207</v>
      </c>
      <c r="J170" s="3">
        <v>29590.0</v>
      </c>
      <c r="K170" s="10" t="s">
        <v>1338</v>
      </c>
      <c r="L170" s="1"/>
      <c r="M170" s="1"/>
      <c r="N170" s="1" t="s">
        <v>1339</v>
      </c>
      <c r="O170" s="1" t="s">
        <v>1340</v>
      </c>
      <c r="P170" s="1" t="s">
        <v>1341</v>
      </c>
      <c r="Q170" s="1" t="s">
        <v>1342</v>
      </c>
      <c r="R170" s="1"/>
      <c r="S170" s="7">
        <v>0.0</v>
      </c>
      <c r="T170" s="7">
        <v>0.0</v>
      </c>
      <c r="U170" s="1"/>
      <c r="V170" s="6" t="b">
        <v>1</v>
      </c>
    </row>
    <row r="171" ht="15.75" customHeight="1">
      <c r="A171" s="1" t="s">
        <v>1343</v>
      </c>
      <c r="B171" s="1" t="s">
        <v>1344</v>
      </c>
      <c r="C171" s="1" t="s">
        <v>1345</v>
      </c>
      <c r="D171" s="1" t="s">
        <v>1344</v>
      </c>
      <c r="E171" s="1" t="s">
        <v>1251</v>
      </c>
      <c r="F171" s="1" t="s">
        <v>1251</v>
      </c>
      <c r="G171" s="1" t="s">
        <v>207</v>
      </c>
      <c r="H171" s="1" t="str">
        <f>IFERROR(__xludf.DUMMYFUNCTION("""COMPUTED_VALUE"""),"Ubiquiti Networks")</f>
        <v>Ubiquiti Networks</v>
      </c>
      <c r="I171" s="1" t="s">
        <v>207</v>
      </c>
      <c r="J171" s="3">
        <v>40790.0</v>
      </c>
      <c r="K171" s="10" t="s">
        <v>1346</v>
      </c>
      <c r="L171" s="1"/>
      <c r="M171" s="1"/>
      <c r="N171" s="1" t="s">
        <v>1347</v>
      </c>
      <c r="O171" s="1" t="s">
        <v>1348</v>
      </c>
      <c r="P171" s="1" t="s">
        <v>1349</v>
      </c>
      <c r="Q171" s="1" t="s">
        <v>1350</v>
      </c>
      <c r="R171" s="1"/>
      <c r="S171" s="7">
        <v>0.0</v>
      </c>
      <c r="T171" s="7">
        <v>0.0</v>
      </c>
      <c r="U171" s="1"/>
      <c r="V171" s="6" t="b">
        <v>1</v>
      </c>
    </row>
    <row r="172" ht="15.75" customHeight="1">
      <c r="A172" s="1" t="s">
        <v>1351</v>
      </c>
      <c r="B172" s="1" t="s">
        <v>1352</v>
      </c>
      <c r="C172" s="1" t="s">
        <v>1353</v>
      </c>
      <c r="D172" s="1" t="s">
        <v>1352</v>
      </c>
      <c r="E172" s="1" t="s">
        <v>1251</v>
      </c>
      <c r="F172" s="1" t="s">
        <v>1251</v>
      </c>
      <c r="G172" s="1" t="s">
        <v>207</v>
      </c>
      <c r="H172" s="1" t="str">
        <f>IFERROR(__xludf.DUMMYFUNCTION("""COMPUTED_VALUE"""),"Ubiquiti Networks")</f>
        <v>Ubiquiti Networks</v>
      </c>
      <c r="I172" s="1" t="s">
        <v>207</v>
      </c>
      <c r="J172" s="3">
        <v>27900.0</v>
      </c>
      <c r="K172" s="10" t="s">
        <v>1354</v>
      </c>
      <c r="L172" s="1"/>
      <c r="M172" s="1"/>
      <c r="N172" s="1" t="s">
        <v>1355</v>
      </c>
      <c r="O172" s="1" t="s">
        <v>1356</v>
      </c>
      <c r="P172" s="1" t="s">
        <v>1357</v>
      </c>
      <c r="Q172" s="1" t="s">
        <v>1264</v>
      </c>
      <c r="R172" s="1"/>
      <c r="S172" s="7">
        <v>0.0</v>
      </c>
      <c r="T172" s="7">
        <v>0.0</v>
      </c>
      <c r="U172" s="1"/>
      <c r="V172" s="6" t="b">
        <v>1</v>
      </c>
    </row>
    <row r="173" ht="15.75" customHeight="1">
      <c r="A173" s="1" t="s">
        <v>1358</v>
      </c>
      <c r="B173" s="1" t="s">
        <v>1359</v>
      </c>
      <c r="C173" s="1" t="s">
        <v>1360</v>
      </c>
      <c r="D173" s="1" t="s">
        <v>1359</v>
      </c>
      <c r="E173" s="1" t="s">
        <v>1251</v>
      </c>
      <c r="F173" s="1" t="s">
        <v>1251</v>
      </c>
      <c r="G173" s="1" t="s">
        <v>207</v>
      </c>
      <c r="H173" s="1" t="str">
        <f>IFERROR(__xludf.DUMMYFUNCTION("""COMPUTED_VALUE"""),"Ubiquiti Networks")</f>
        <v>Ubiquiti Networks</v>
      </c>
      <c r="I173" s="1" t="s">
        <v>207</v>
      </c>
      <c r="J173" s="3">
        <v>15990.0</v>
      </c>
      <c r="K173" s="10" t="s">
        <v>1361</v>
      </c>
      <c r="L173" s="1"/>
      <c r="M173" s="1"/>
      <c r="N173" s="1" t="s">
        <v>1362</v>
      </c>
      <c r="O173" s="1" t="s">
        <v>1363</v>
      </c>
      <c r="P173" s="1" t="s">
        <v>1364</v>
      </c>
      <c r="Q173" s="1" t="s">
        <v>1311</v>
      </c>
      <c r="R173" s="1"/>
      <c r="S173" s="7">
        <v>0.0</v>
      </c>
      <c r="T173" s="7">
        <v>0.0</v>
      </c>
      <c r="U173" s="1"/>
      <c r="V173" s="6" t="b">
        <v>1</v>
      </c>
    </row>
    <row r="174" ht="15.75" customHeight="1">
      <c r="A174" s="1" t="s">
        <v>1365</v>
      </c>
      <c r="B174" s="1" t="s">
        <v>1366</v>
      </c>
      <c r="C174" s="1" t="s">
        <v>1367</v>
      </c>
      <c r="D174" s="1" t="s">
        <v>1366</v>
      </c>
      <c r="E174" s="1" t="s">
        <v>1251</v>
      </c>
      <c r="F174" s="1" t="s">
        <v>1251</v>
      </c>
      <c r="G174" s="1" t="s">
        <v>174</v>
      </c>
      <c r="H174" s="1" t="str">
        <f>IFERROR(__xludf.DUMMYFUNCTION("""COMPUTED_VALUE"""),"Ubiquiti Networks")</f>
        <v>Ubiquiti Networks</v>
      </c>
      <c r="I174" s="1" t="s">
        <v>174</v>
      </c>
      <c r="J174" s="3">
        <v>7790.0</v>
      </c>
      <c r="K174" s="10" t="s">
        <v>1368</v>
      </c>
      <c r="L174" s="1"/>
      <c r="M174" s="1"/>
      <c r="N174" s="1" t="s">
        <v>1369</v>
      </c>
      <c r="O174" s="1" t="s">
        <v>1370</v>
      </c>
      <c r="P174" s="1" t="s">
        <v>1371</v>
      </c>
      <c r="Q174" s="1" t="s">
        <v>1372</v>
      </c>
      <c r="R174" s="1" t="s">
        <v>35</v>
      </c>
      <c r="S174" s="7">
        <v>0.0</v>
      </c>
      <c r="T174" s="7">
        <v>0.0</v>
      </c>
      <c r="U174" s="1"/>
      <c r="V174" s="6" t="b">
        <v>1</v>
      </c>
    </row>
    <row r="175" ht="15.75" customHeight="1">
      <c r="A175" s="1" t="s">
        <v>1373</v>
      </c>
      <c r="B175" s="1" t="s">
        <v>1374</v>
      </c>
      <c r="C175" s="1" t="s">
        <v>1375</v>
      </c>
      <c r="D175" s="1" t="s">
        <v>1374</v>
      </c>
      <c r="E175" s="1" t="s">
        <v>1251</v>
      </c>
      <c r="F175" s="1" t="s">
        <v>1251</v>
      </c>
      <c r="G175" s="1" t="s">
        <v>174</v>
      </c>
      <c r="H175" s="1" t="str">
        <f>IFERROR(__xludf.DUMMYFUNCTION("""COMPUTED_VALUE"""),"Ubiquiti Networks")</f>
        <v>Ubiquiti Networks</v>
      </c>
      <c r="I175" s="1" t="s">
        <v>174</v>
      </c>
      <c r="J175" s="3">
        <v>0.0</v>
      </c>
      <c r="K175" s="10" t="s">
        <v>1376</v>
      </c>
      <c r="L175" s="1"/>
      <c r="M175" s="1"/>
      <c r="N175" s="1" t="s">
        <v>1377</v>
      </c>
      <c r="O175" s="1" t="s">
        <v>1378</v>
      </c>
      <c r="P175" s="1" t="s">
        <v>1379</v>
      </c>
      <c r="Q175" s="1" t="s">
        <v>1380</v>
      </c>
      <c r="R175" s="1"/>
      <c r="S175" s="7">
        <v>0.0</v>
      </c>
      <c r="T175" s="7">
        <v>0.0</v>
      </c>
      <c r="U175" s="1"/>
      <c r="V175" s="6" t="b">
        <v>1</v>
      </c>
    </row>
    <row r="176" ht="15.75" customHeight="1">
      <c r="A176" s="1" t="s">
        <v>1381</v>
      </c>
      <c r="B176" s="1" t="s">
        <v>1382</v>
      </c>
      <c r="C176" s="1" t="s">
        <v>1383</v>
      </c>
      <c r="D176" s="1" t="s">
        <v>1382</v>
      </c>
      <c r="E176" s="1" t="s">
        <v>1251</v>
      </c>
      <c r="F176" s="1" t="s">
        <v>1251</v>
      </c>
      <c r="G176" s="1" t="s">
        <v>174</v>
      </c>
      <c r="H176" s="1" t="str">
        <f>IFERROR(__xludf.DUMMYFUNCTION("""COMPUTED_VALUE"""),"Ubiquiti Networks")</f>
        <v>Ubiquiti Networks</v>
      </c>
      <c r="I176" s="1" t="s">
        <v>174</v>
      </c>
      <c r="J176" s="3">
        <v>7190.0</v>
      </c>
      <c r="K176" s="10" t="s">
        <v>1384</v>
      </c>
      <c r="L176" s="1"/>
      <c r="M176" s="1"/>
      <c r="N176" s="1" t="s">
        <v>1385</v>
      </c>
      <c r="O176" s="1" t="s">
        <v>1386</v>
      </c>
      <c r="P176" s="1" t="s">
        <v>1387</v>
      </c>
      <c r="Q176" s="1" t="s">
        <v>1388</v>
      </c>
      <c r="R176" s="1"/>
      <c r="S176" s="7">
        <v>0.0</v>
      </c>
      <c r="T176" s="7">
        <v>0.0</v>
      </c>
      <c r="U176" s="1"/>
      <c r="V176" s="6" t="b">
        <v>1</v>
      </c>
    </row>
    <row r="177" ht="15.75" customHeight="1">
      <c r="A177" s="1" t="s">
        <v>1389</v>
      </c>
      <c r="B177" s="1" t="s">
        <v>1390</v>
      </c>
      <c r="C177" s="1" t="s">
        <v>1391</v>
      </c>
      <c r="D177" s="1" t="s">
        <v>1390</v>
      </c>
      <c r="E177" s="1" t="s">
        <v>1251</v>
      </c>
      <c r="F177" s="1" t="s">
        <v>1251</v>
      </c>
      <c r="G177" s="1" t="s">
        <v>174</v>
      </c>
      <c r="H177" s="1" t="str">
        <f>IFERROR(__xludf.DUMMYFUNCTION("""COMPUTED_VALUE"""),"Ubiquiti Networks")</f>
        <v>Ubiquiti Networks</v>
      </c>
      <c r="I177" s="1" t="s">
        <v>174</v>
      </c>
      <c r="J177" s="3">
        <v>24759.0</v>
      </c>
      <c r="K177" s="10" t="s">
        <v>1392</v>
      </c>
      <c r="L177" s="1"/>
      <c r="M177" s="1"/>
      <c r="N177" s="1" t="s">
        <v>1393</v>
      </c>
      <c r="O177" s="1" t="s">
        <v>1394</v>
      </c>
      <c r="P177" s="1" t="s">
        <v>1395</v>
      </c>
      <c r="Q177" s="1" t="s">
        <v>1396</v>
      </c>
      <c r="R177" s="1"/>
      <c r="S177" s="7">
        <v>0.0</v>
      </c>
      <c r="T177" s="7">
        <v>0.0</v>
      </c>
      <c r="U177" s="1"/>
      <c r="V177" s="6" t="b">
        <v>1</v>
      </c>
    </row>
    <row r="178" ht="15.75" customHeight="1">
      <c r="A178" s="1" t="s">
        <v>1397</v>
      </c>
      <c r="B178" s="1" t="s">
        <v>1398</v>
      </c>
      <c r="C178" s="1" t="s">
        <v>1399</v>
      </c>
      <c r="D178" s="1" t="s">
        <v>1398</v>
      </c>
      <c r="E178" s="1" t="s">
        <v>1251</v>
      </c>
      <c r="F178" s="1" t="s">
        <v>1251</v>
      </c>
      <c r="G178" s="1" t="s">
        <v>174</v>
      </c>
      <c r="H178" s="1" t="str">
        <f>IFERROR(__xludf.DUMMYFUNCTION("""COMPUTED_VALUE"""),"Ubiquiti Networks")</f>
        <v>Ubiquiti Networks</v>
      </c>
      <c r="I178" s="1" t="s">
        <v>174</v>
      </c>
      <c r="J178" s="3">
        <v>4390.0</v>
      </c>
      <c r="K178" s="17" t="s">
        <v>1400</v>
      </c>
      <c r="L178" s="16" t="s">
        <v>1401</v>
      </c>
      <c r="M178" s="18" t="s">
        <v>1402</v>
      </c>
      <c r="N178" s="1" t="s">
        <v>1403</v>
      </c>
      <c r="O178" s="1" t="s">
        <v>1404</v>
      </c>
      <c r="P178" s="1" t="s">
        <v>1405</v>
      </c>
      <c r="Q178" s="1" t="s">
        <v>1406</v>
      </c>
      <c r="R178" s="1"/>
      <c r="S178" s="7">
        <v>0.0</v>
      </c>
      <c r="T178" s="7">
        <v>0.0</v>
      </c>
      <c r="U178" s="1"/>
      <c r="V178" s="6" t="b">
        <v>1</v>
      </c>
    </row>
    <row r="179" ht="15.75" customHeight="1">
      <c r="A179" s="1" t="s">
        <v>1407</v>
      </c>
      <c r="B179" s="1" t="s">
        <v>1408</v>
      </c>
      <c r="C179" s="1" t="s">
        <v>1409</v>
      </c>
      <c r="D179" s="1" t="s">
        <v>1408</v>
      </c>
      <c r="E179" s="1" t="s">
        <v>1251</v>
      </c>
      <c r="F179" s="1" t="s">
        <v>1251</v>
      </c>
      <c r="G179" s="1" t="s">
        <v>174</v>
      </c>
      <c r="H179" s="1" t="str">
        <f>IFERROR(__xludf.DUMMYFUNCTION("""COMPUTED_VALUE"""),"Ubiquiti Networks")</f>
        <v>Ubiquiti Networks</v>
      </c>
      <c r="I179" s="1" t="s">
        <v>174</v>
      </c>
      <c r="J179" s="3">
        <v>4890.0</v>
      </c>
      <c r="K179" s="10" t="s">
        <v>1410</v>
      </c>
      <c r="L179" s="1"/>
      <c r="M179" s="1"/>
      <c r="N179" s="1" t="s">
        <v>1411</v>
      </c>
      <c r="O179" s="1" t="s">
        <v>1412</v>
      </c>
      <c r="P179" s="1" t="s">
        <v>1413</v>
      </c>
      <c r="Q179" s="1" t="s">
        <v>1414</v>
      </c>
      <c r="R179" s="1"/>
      <c r="S179" s="7">
        <v>0.0</v>
      </c>
      <c r="T179" s="7">
        <v>0.0</v>
      </c>
      <c r="U179" s="1"/>
      <c r="V179" s="6" t="b">
        <v>1</v>
      </c>
    </row>
    <row r="180" ht="15.75" customHeight="1">
      <c r="A180" s="1" t="s">
        <v>1415</v>
      </c>
      <c r="B180" s="1" t="s">
        <v>1416</v>
      </c>
      <c r="C180" s="1" t="s">
        <v>1417</v>
      </c>
      <c r="D180" s="1" t="s">
        <v>1416</v>
      </c>
      <c r="E180" s="1" t="s">
        <v>1251</v>
      </c>
      <c r="F180" s="1" t="s">
        <v>1251</v>
      </c>
      <c r="G180" s="1" t="s">
        <v>174</v>
      </c>
      <c r="H180" s="1" t="str">
        <f>IFERROR(__xludf.DUMMYFUNCTION("""COMPUTED_VALUE"""),"Ubiquiti Networks")</f>
        <v>Ubiquiti Networks</v>
      </c>
      <c r="I180" s="1" t="s">
        <v>174</v>
      </c>
      <c r="J180" s="3">
        <v>15790.0</v>
      </c>
      <c r="K180" s="10" t="s">
        <v>1418</v>
      </c>
      <c r="L180" s="1"/>
      <c r="M180" s="1"/>
      <c r="N180" s="1" t="s">
        <v>1419</v>
      </c>
      <c r="O180" s="1" t="s">
        <v>1420</v>
      </c>
      <c r="P180" s="1" t="s">
        <v>1421</v>
      </c>
      <c r="Q180" s="1" t="s">
        <v>1422</v>
      </c>
      <c r="R180" s="1"/>
      <c r="S180" s="7">
        <v>0.0</v>
      </c>
      <c r="T180" s="7">
        <v>0.0</v>
      </c>
      <c r="U180" s="1"/>
      <c r="V180" s="6" t="b">
        <v>1</v>
      </c>
    </row>
    <row r="181" ht="15.75" customHeight="1">
      <c r="A181" s="1" t="s">
        <v>1423</v>
      </c>
      <c r="B181" s="1" t="s">
        <v>1424</v>
      </c>
      <c r="C181" s="1" t="s">
        <v>1425</v>
      </c>
      <c r="D181" s="1" t="s">
        <v>1424</v>
      </c>
      <c r="E181" s="1" t="s">
        <v>1251</v>
      </c>
      <c r="F181" s="1" t="s">
        <v>1251</v>
      </c>
      <c r="G181" s="1" t="s">
        <v>174</v>
      </c>
      <c r="H181" s="1" t="str">
        <f>IFERROR(__xludf.DUMMYFUNCTION("""COMPUTED_VALUE"""),"Ubiquiti Networks")</f>
        <v>Ubiquiti Networks</v>
      </c>
      <c r="I181" s="1" t="s">
        <v>174</v>
      </c>
      <c r="J181" s="3">
        <v>0.0</v>
      </c>
      <c r="K181" s="10" t="s">
        <v>1426</v>
      </c>
      <c r="L181" s="1"/>
      <c r="M181" s="1"/>
      <c r="N181" s="1" t="s">
        <v>1427</v>
      </c>
      <c r="O181" s="1" t="s">
        <v>1428</v>
      </c>
      <c r="P181" s="1" t="s">
        <v>1429</v>
      </c>
      <c r="Q181" s="1" t="s">
        <v>1430</v>
      </c>
      <c r="R181" s="1"/>
      <c r="S181" s="7">
        <v>0.0</v>
      </c>
      <c r="T181" s="7">
        <v>0.0</v>
      </c>
      <c r="U181" s="1"/>
      <c r="V181" s="6" t="b">
        <v>1</v>
      </c>
    </row>
    <row r="182" ht="15.75" customHeight="1">
      <c r="A182" s="1" t="s">
        <v>1431</v>
      </c>
      <c r="B182" s="1" t="s">
        <v>1432</v>
      </c>
      <c r="C182" s="1" t="s">
        <v>1433</v>
      </c>
      <c r="D182" s="1" t="s">
        <v>1432</v>
      </c>
      <c r="E182" s="1" t="s">
        <v>1251</v>
      </c>
      <c r="F182" s="1" t="s">
        <v>1251</v>
      </c>
      <c r="G182" s="1" t="s">
        <v>174</v>
      </c>
      <c r="H182" s="1" t="str">
        <f>IFERROR(__xludf.DUMMYFUNCTION("""COMPUTED_VALUE"""),"Ubiquiti Networks")</f>
        <v>Ubiquiti Networks</v>
      </c>
      <c r="I182" s="1" t="s">
        <v>174</v>
      </c>
      <c r="J182" s="3">
        <v>11800.0</v>
      </c>
      <c r="K182" s="10" t="s">
        <v>1434</v>
      </c>
      <c r="L182" s="1"/>
      <c r="M182" s="1"/>
      <c r="N182" s="1" t="s">
        <v>1435</v>
      </c>
      <c r="O182" s="1" t="s">
        <v>1436</v>
      </c>
      <c r="P182" s="1" t="s">
        <v>1437</v>
      </c>
      <c r="Q182" s="1" t="s">
        <v>1438</v>
      </c>
      <c r="R182" s="1"/>
      <c r="S182" s="7">
        <v>0.0</v>
      </c>
      <c r="T182" s="7">
        <v>0.0</v>
      </c>
      <c r="U182" s="1"/>
      <c r="V182" s="6" t="b">
        <v>1</v>
      </c>
    </row>
    <row r="183" ht="15.75" customHeight="1">
      <c r="A183" s="1" t="s">
        <v>1439</v>
      </c>
      <c r="B183" s="1" t="s">
        <v>1440</v>
      </c>
      <c r="C183" s="1" t="s">
        <v>1441</v>
      </c>
      <c r="D183" s="1" t="s">
        <v>1440</v>
      </c>
      <c r="E183" s="1" t="s">
        <v>1251</v>
      </c>
      <c r="F183" s="1" t="s">
        <v>1251</v>
      </c>
      <c r="G183" s="1" t="s">
        <v>174</v>
      </c>
      <c r="H183" s="1" t="str">
        <f>IFERROR(__xludf.DUMMYFUNCTION("""COMPUTED_VALUE"""),"Ubiquiti Networks")</f>
        <v>Ubiquiti Networks</v>
      </c>
      <c r="I183" s="1" t="s">
        <v>174</v>
      </c>
      <c r="J183" s="3">
        <v>4400.0</v>
      </c>
      <c r="K183" s="10" t="s">
        <v>1442</v>
      </c>
      <c r="L183" s="1"/>
      <c r="M183" s="1"/>
      <c r="N183" s="1" t="s">
        <v>1443</v>
      </c>
      <c r="O183" s="1" t="s">
        <v>1444</v>
      </c>
      <c r="P183" s="1" t="s">
        <v>1445</v>
      </c>
      <c r="Q183" s="1" t="s">
        <v>1446</v>
      </c>
      <c r="R183" s="1"/>
      <c r="S183" s="7">
        <v>0.0</v>
      </c>
      <c r="T183" s="7">
        <v>0.0</v>
      </c>
      <c r="U183" s="1"/>
      <c r="V183" s="6" t="b">
        <v>1</v>
      </c>
    </row>
    <row r="184" ht="15.75" customHeight="1">
      <c r="A184" s="1" t="s">
        <v>1447</v>
      </c>
      <c r="B184" s="1" t="s">
        <v>1448</v>
      </c>
      <c r="C184" s="1" t="s">
        <v>1449</v>
      </c>
      <c r="D184" s="1" t="s">
        <v>1448</v>
      </c>
      <c r="E184" s="1" t="s">
        <v>1251</v>
      </c>
      <c r="F184" s="1" t="s">
        <v>1251</v>
      </c>
      <c r="G184" s="1" t="s">
        <v>1450</v>
      </c>
      <c r="H184" s="1" t="str">
        <f>IFERROR(__xludf.DUMMYFUNCTION("""COMPUTED_VALUE"""),"Ubiquiti Networks")</f>
        <v>Ubiquiti Networks</v>
      </c>
      <c r="I184" s="1" t="s">
        <v>1450</v>
      </c>
      <c r="J184" s="3">
        <v>9390.0</v>
      </c>
      <c r="K184" s="10" t="s">
        <v>1451</v>
      </c>
      <c r="L184" s="1"/>
      <c r="M184" s="1"/>
      <c r="N184" s="1" t="s">
        <v>1452</v>
      </c>
      <c r="O184" s="1" t="s">
        <v>1453</v>
      </c>
      <c r="P184" s="1" t="s">
        <v>1454</v>
      </c>
      <c r="Q184" s="1" t="s">
        <v>1455</v>
      </c>
      <c r="R184" s="1"/>
      <c r="S184" s="7">
        <v>0.0</v>
      </c>
      <c r="T184" s="7">
        <v>0.0</v>
      </c>
      <c r="U184" s="1"/>
      <c r="V184" s="6" t="b">
        <v>1</v>
      </c>
    </row>
    <row r="185" ht="15.75" customHeight="1">
      <c r="A185" s="1" t="s">
        <v>1456</v>
      </c>
      <c r="B185" s="1" t="s">
        <v>1457</v>
      </c>
      <c r="C185" s="1" t="s">
        <v>1458</v>
      </c>
      <c r="D185" s="1" t="s">
        <v>1457</v>
      </c>
      <c r="E185" s="1" t="s">
        <v>1251</v>
      </c>
      <c r="F185" s="1" t="s">
        <v>1251</v>
      </c>
      <c r="G185" s="1" t="s">
        <v>1450</v>
      </c>
      <c r="H185" s="1" t="str">
        <f>IFERROR(__xludf.DUMMYFUNCTION("""COMPUTED_VALUE"""),"Ubiquiti Networks")</f>
        <v>Ubiquiti Networks</v>
      </c>
      <c r="I185" s="1" t="s">
        <v>1450</v>
      </c>
      <c r="J185" s="3">
        <v>21000.0</v>
      </c>
      <c r="K185" s="10" t="s">
        <v>1459</v>
      </c>
      <c r="L185" s="1"/>
      <c r="M185" s="1"/>
      <c r="N185" s="1" t="s">
        <v>1460</v>
      </c>
      <c r="O185" s="1" t="s">
        <v>1461</v>
      </c>
      <c r="P185" s="1" t="s">
        <v>1462</v>
      </c>
      <c r="Q185" s="1" t="s">
        <v>1463</v>
      </c>
      <c r="R185" s="1"/>
      <c r="S185" s="7">
        <v>0.0</v>
      </c>
      <c r="T185" s="7">
        <v>0.0</v>
      </c>
      <c r="U185" s="1"/>
      <c r="V185" s="6" t="b">
        <v>1</v>
      </c>
    </row>
    <row r="186" ht="15.75" customHeight="1">
      <c r="A186" s="1" t="s">
        <v>1464</v>
      </c>
      <c r="B186" s="1" t="s">
        <v>1465</v>
      </c>
      <c r="C186" s="1" t="s">
        <v>1466</v>
      </c>
      <c r="D186" s="1" t="s">
        <v>1465</v>
      </c>
      <c r="E186" s="1" t="s">
        <v>1251</v>
      </c>
      <c r="F186" s="1" t="s">
        <v>1251</v>
      </c>
      <c r="G186" s="1" t="s">
        <v>1450</v>
      </c>
      <c r="H186" s="1" t="str">
        <f>IFERROR(__xludf.DUMMYFUNCTION("""COMPUTED_VALUE"""),"Ubiquiti Networks")</f>
        <v>Ubiquiti Networks</v>
      </c>
      <c r="I186" s="1" t="s">
        <v>1450</v>
      </c>
      <c r="J186" s="3">
        <v>6450.0</v>
      </c>
      <c r="K186" s="10" t="s">
        <v>1467</v>
      </c>
      <c r="L186" s="1"/>
      <c r="M186" s="1"/>
      <c r="N186" s="1" t="s">
        <v>1468</v>
      </c>
      <c r="O186" s="1" t="s">
        <v>1469</v>
      </c>
      <c r="P186" s="1" t="s">
        <v>1470</v>
      </c>
      <c r="Q186" s="1" t="s">
        <v>1471</v>
      </c>
      <c r="R186" s="1"/>
      <c r="S186" s="7">
        <v>0.0</v>
      </c>
      <c r="T186" s="7">
        <v>0.0</v>
      </c>
      <c r="U186" s="1"/>
      <c r="V186" s="6" t="b">
        <v>1</v>
      </c>
    </row>
    <row r="187" ht="15.75" customHeight="1">
      <c r="A187" s="1" t="s">
        <v>1472</v>
      </c>
      <c r="B187" s="1" t="s">
        <v>1473</v>
      </c>
      <c r="C187" s="1" t="s">
        <v>1474</v>
      </c>
      <c r="D187" s="1" t="s">
        <v>1473</v>
      </c>
      <c r="E187" s="1" t="s">
        <v>1251</v>
      </c>
      <c r="F187" s="1" t="s">
        <v>1251</v>
      </c>
      <c r="G187" s="1" t="s">
        <v>1450</v>
      </c>
      <c r="H187" s="1" t="str">
        <f>IFERROR(__xludf.DUMMYFUNCTION("""COMPUTED_VALUE"""),"Ubiquiti Networks")</f>
        <v>Ubiquiti Networks</v>
      </c>
      <c r="I187" s="1" t="s">
        <v>1450</v>
      </c>
      <c r="J187" s="3">
        <v>6990.0</v>
      </c>
      <c r="K187" s="10" t="s">
        <v>1475</v>
      </c>
      <c r="L187" s="1"/>
      <c r="M187" s="1"/>
      <c r="N187" s="1" t="s">
        <v>1476</v>
      </c>
      <c r="O187" s="1" t="s">
        <v>1477</v>
      </c>
      <c r="P187" s="1" t="s">
        <v>1478</v>
      </c>
      <c r="Q187" s="1" t="s">
        <v>1479</v>
      </c>
      <c r="R187" s="1"/>
      <c r="S187" s="7">
        <v>0.0</v>
      </c>
      <c r="T187" s="7">
        <v>0.0</v>
      </c>
      <c r="U187" s="1"/>
      <c r="V187" s="6" t="b">
        <v>1</v>
      </c>
    </row>
    <row r="188" ht="15.75" customHeight="1">
      <c r="A188" s="1" t="s">
        <v>1480</v>
      </c>
      <c r="B188" s="1" t="s">
        <v>1481</v>
      </c>
      <c r="C188" s="1" t="s">
        <v>1482</v>
      </c>
      <c r="D188" s="1" t="s">
        <v>1481</v>
      </c>
      <c r="E188" s="1" t="s">
        <v>1251</v>
      </c>
      <c r="F188" s="1" t="s">
        <v>1251</v>
      </c>
      <c r="G188" s="1" t="s">
        <v>1450</v>
      </c>
      <c r="H188" s="1" t="str">
        <f>IFERROR(__xludf.DUMMYFUNCTION("""COMPUTED_VALUE"""),"Ubiquiti Networks")</f>
        <v>Ubiquiti Networks</v>
      </c>
      <c r="I188" s="1" t="s">
        <v>1450</v>
      </c>
      <c r="J188" s="3">
        <v>3890.0</v>
      </c>
      <c r="K188" s="10" t="s">
        <v>1483</v>
      </c>
      <c r="L188" s="1"/>
      <c r="M188" s="1"/>
      <c r="N188" s="1" t="s">
        <v>1484</v>
      </c>
      <c r="O188" s="1" t="s">
        <v>1485</v>
      </c>
      <c r="P188" s="1" t="s">
        <v>1486</v>
      </c>
      <c r="Q188" s="1" t="s">
        <v>1487</v>
      </c>
      <c r="R188" s="1"/>
      <c r="S188" s="7">
        <v>0.0</v>
      </c>
      <c r="T188" s="7">
        <v>0.0</v>
      </c>
      <c r="U188" s="1"/>
      <c r="V188" s="6" t="b">
        <v>1</v>
      </c>
    </row>
    <row r="189" ht="15.75" customHeight="1">
      <c r="A189" s="1" t="s">
        <v>1488</v>
      </c>
      <c r="B189" s="1" t="s">
        <v>1489</v>
      </c>
      <c r="C189" s="1" t="s">
        <v>1490</v>
      </c>
      <c r="D189" s="1" t="s">
        <v>1489</v>
      </c>
      <c r="E189" s="1" t="s">
        <v>1251</v>
      </c>
      <c r="F189" s="1" t="s">
        <v>1251</v>
      </c>
      <c r="G189" s="1" t="s">
        <v>1450</v>
      </c>
      <c r="H189" s="1" t="str">
        <f>IFERROR(__xludf.DUMMYFUNCTION("""COMPUTED_VALUE"""),"Ubiquiti Networks")</f>
        <v>Ubiquiti Networks</v>
      </c>
      <c r="I189" s="1" t="s">
        <v>1450</v>
      </c>
      <c r="J189" s="3">
        <v>0.0</v>
      </c>
      <c r="K189" s="10" t="s">
        <v>1491</v>
      </c>
      <c r="L189" s="1"/>
      <c r="M189" s="1"/>
      <c r="N189" s="1" t="s">
        <v>1492</v>
      </c>
      <c r="O189" s="1" t="s">
        <v>1493</v>
      </c>
      <c r="P189" s="1" t="s">
        <v>1494</v>
      </c>
      <c r="Q189" s="1" t="s">
        <v>1471</v>
      </c>
      <c r="R189" s="1"/>
      <c r="S189" s="7">
        <v>0.0</v>
      </c>
      <c r="T189" s="7">
        <v>0.0</v>
      </c>
      <c r="U189" s="1"/>
      <c r="V189" s="6" t="b">
        <v>1</v>
      </c>
    </row>
    <row r="190" ht="15.75" customHeight="1">
      <c r="A190" s="1" t="s">
        <v>1495</v>
      </c>
      <c r="B190" s="1" t="s">
        <v>1496</v>
      </c>
      <c r="C190" s="1" t="s">
        <v>1497</v>
      </c>
      <c r="D190" s="1" t="s">
        <v>1496</v>
      </c>
      <c r="E190" s="1" t="s">
        <v>1251</v>
      </c>
      <c r="F190" s="1" t="s">
        <v>1251</v>
      </c>
      <c r="G190" s="1" t="s">
        <v>1498</v>
      </c>
      <c r="H190" s="1" t="str">
        <f>IFERROR(__xludf.DUMMYFUNCTION("""COMPUTED_VALUE"""),"Ubiquiti Networks")</f>
        <v>Ubiquiti Networks</v>
      </c>
      <c r="I190" s="1" t="s">
        <v>1498</v>
      </c>
      <c r="J190" s="3">
        <v>5650.0</v>
      </c>
      <c r="K190" s="10" t="s">
        <v>1499</v>
      </c>
      <c r="L190" s="1"/>
      <c r="M190" s="1"/>
      <c r="N190" s="1" t="s">
        <v>1500</v>
      </c>
      <c r="O190" s="1" t="s">
        <v>1501</v>
      </c>
      <c r="P190" s="1" t="s">
        <v>1502</v>
      </c>
      <c r="Q190" s="1" t="s">
        <v>1503</v>
      </c>
      <c r="R190" s="1"/>
      <c r="S190" s="7">
        <v>0.0</v>
      </c>
      <c r="T190" s="7">
        <v>0.0</v>
      </c>
      <c r="U190" s="1"/>
      <c r="V190" s="6" t="b">
        <v>1</v>
      </c>
    </row>
    <row r="191" ht="15.75" customHeight="1">
      <c r="A191" s="1" t="s">
        <v>1504</v>
      </c>
      <c r="B191" s="1" t="s">
        <v>1505</v>
      </c>
      <c r="C191" s="1" t="s">
        <v>1506</v>
      </c>
      <c r="D191" s="1" t="s">
        <v>1505</v>
      </c>
      <c r="E191" s="1" t="s">
        <v>1251</v>
      </c>
      <c r="F191" s="1" t="s">
        <v>1251</v>
      </c>
      <c r="G191" s="1" t="s">
        <v>1498</v>
      </c>
      <c r="H191" s="1" t="str">
        <f>IFERROR(__xludf.DUMMYFUNCTION("""COMPUTED_VALUE"""),"Ubiquiti Networks")</f>
        <v>Ubiquiti Networks</v>
      </c>
      <c r="I191" s="1" t="s">
        <v>1498</v>
      </c>
      <c r="J191" s="3">
        <v>3590.0</v>
      </c>
      <c r="K191" s="10" t="s">
        <v>1507</v>
      </c>
      <c r="L191" s="1"/>
      <c r="M191" s="1"/>
      <c r="N191" s="1" t="s">
        <v>1508</v>
      </c>
      <c r="O191" s="1" t="s">
        <v>1509</v>
      </c>
      <c r="P191" s="1" t="s">
        <v>1510</v>
      </c>
      <c r="Q191" s="1" t="s">
        <v>1511</v>
      </c>
      <c r="R191" s="1"/>
      <c r="S191" s="7">
        <v>0.0</v>
      </c>
      <c r="T191" s="7">
        <v>0.0</v>
      </c>
      <c r="U191" s="1"/>
      <c r="V191" s="6" t="b">
        <v>1</v>
      </c>
    </row>
    <row r="192" ht="15.75" customHeight="1">
      <c r="A192" s="1" t="s">
        <v>1512</v>
      </c>
      <c r="B192" s="1" t="s">
        <v>1513</v>
      </c>
      <c r="C192" s="1" t="s">
        <v>1514</v>
      </c>
      <c r="D192" s="1" t="s">
        <v>1513</v>
      </c>
      <c r="E192" s="1" t="s">
        <v>1251</v>
      </c>
      <c r="F192" s="1" t="s">
        <v>1251</v>
      </c>
      <c r="G192" s="1" t="s">
        <v>1498</v>
      </c>
      <c r="H192" s="1" t="str">
        <f>IFERROR(__xludf.DUMMYFUNCTION("""COMPUTED_VALUE"""),"Ubiquiti Networks")</f>
        <v>Ubiquiti Networks</v>
      </c>
      <c r="I192" s="1" t="s">
        <v>1498</v>
      </c>
      <c r="J192" s="3">
        <v>6550.0</v>
      </c>
      <c r="K192" s="10" t="s">
        <v>1515</v>
      </c>
      <c r="L192" s="1"/>
      <c r="M192" s="1"/>
      <c r="N192" s="1" t="s">
        <v>1516</v>
      </c>
      <c r="O192" s="1" t="s">
        <v>1517</v>
      </c>
      <c r="P192" s="1" t="s">
        <v>1518</v>
      </c>
      <c r="Q192" s="1" t="s">
        <v>1519</v>
      </c>
      <c r="R192" s="1"/>
      <c r="S192" s="7">
        <v>0.0</v>
      </c>
      <c r="T192" s="7">
        <v>0.0</v>
      </c>
      <c r="U192" s="1"/>
      <c r="V192" s="6" t="b">
        <v>1</v>
      </c>
    </row>
    <row r="193" ht="15.75" customHeight="1">
      <c r="A193" s="1" t="s">
        <v>1520</v>
      </c>
      <c r="B193" s="1" t="s">
        <v>1521</v>
      </c>
      <c r="C193" s="1" t="s">
        <v>1522</v>
      </c>
      <c r="D193" s="1" t="s">
        <v>1521</v>
      </c>
      <c r="E193" s="1" t="s">
        <v>1251</v>
      </c>
      <c r="F193" s="1" t="s">
        <v>1251</v>
      </c>
      <c r="G193" s="1" t="s">
        <v>1498</v>
      </c>
      <c r="H193" s="1" t="str">
        <f>IFERROR(__xludf.DUMMYFUNCTION("""COMPUTED_VALUE"""),"Ubiquiti Networks")</f>
        <v>Ubiquiti Networks</v>
      </c>
      <c r="I193" s="1" t="s">
        <v>1498</v>
      </c>
      <c r="J193" s="3">
        <v>6550.0</v>
      </c>
      <c r="K193" s="10" t="s">
        <v>1523</v>
      </c>
      <c r="L193" s="1"/>
      <c r="M193" s="1"/>
      <c r="N193" s="1" t="s">
        <v>1524</v>
      </c>
      <c r="O193" s="1" t="s">
        <v>1525</v>
      </c>
      <c r="P193" s="1" t="s">
        <v>1526</v>
      </c>
      <c r="Q193" s="1" t="s">
        <v>1527</v>
      </c>
      <c r="R193" s="1"/>
      <c r="S193" s="7">
        <v>0.0</v>
      </c>
      <c r="T193" s="7">
        <v>0.0</v>
      </c>
      <c r="U193" s="1"/>
      <c r="V193" s="6" t="b">
        <v>1</v>
      </c>
    </row>
    <row r="194" ht="15.75" customHeight="1">
      <c r="A194" s="1" t="s">
        <v>1528</v>
      </c>
      <c r="B194" s="1" t="s">
        <v>1529</v>
      </c>
      <c r="C194" s="1" t="s">
        <v>1530</v>
      </c>
      <c r="D194" s="1" t="s">
        <v>1529</v>
      </c>
      <c r="E194" s="1" t="s">
        <v>1251</v>
      </c>
      <c r="F194" s="1" t="s">
        <v>1251</v>
      </c>
      <c r="G194" s="1" t="s">
        <v>1498</v>
      </c>
      <c r="H194" s="1" t="str">
        <f>IFERROR(__xludf.DUMMYFUNCTION("""COMPUTED_VALUE"""),"Ubiquiti Networks")</f>
        <v>Ubiquiti Networks</v>
      </c>
      <c r="I194" s="1" t="s">
        <v>1498</v>
      </c>
      <c r="J194" s="3">
        <v>6550.0</v>
      </c>
      <c r="K194" s="10" t="s">
        <v>1531</v>
      </c>
      <c r="L194" s="1"/>
      <c r="M194" s="1"/>
      <c r="N194" s="1" t="s">
        <v>1532</v>
      </c>
      <c r="O194" s="1" t="s">
        <v>1533</v>
      </c>
      <c r="P194" s="1" t="s">
        <v>1518</v>
      </c>
      <c r="Q194" s="1" t="s">
        <v>1519</v>
      </c>
      <c r="R194" s="1"/>
      <c r="S194" s="7">
        <v>0.0</v>
      </c>
      <c r="T194" s="7">
        <v>0.0</v>
      </c>
      <c r="U194" s="1"/>
      <c r="V194" s="6" t="b">
        <v>1</v>
      </c>
    </row>
    <row r="195" ht="15.75" customHeight="1">
      <c r="A195" s="1" t="s">
        <v>1534</v>
      </c>
      <c r="B195" s="1" t="s">
        <v>1535</v>
      </c>
      <c r="C195" s="1" t="s">
        <v>1536</v>
      </c>
      <c r="D195" s="1" t="s">
        <v>1535</v>
      </c>
      <c r="E195" s="1" t="s">
        <v>1251</v>
      </c>
      <c r="F195" s="1" t="s">
        <v>1251</v>
      </c>
      <c r="G195" s="1" t="s">
        <v>1498</v>
      </c>
      <c r="H195" s="1" t="str">
        <f>IFERROR(__xludf.DUMMYFUNCTION("""COMPUTED_VALUE"""),"Ubiquiti Networks")</f>
        <v>Ubiquiti Networks</v>
      </c>
      <c r="I195" s="1" t="s">
        <v>1498</v>
      </c>
      <c r="J195" s="3">
        <v>0.0</v>
      </c>
      <c r="K195" s="10" t="s">
        <v>1537</v>
      </c>
      <c r="L195" s="1"/>
      <c r="M195" s="1"/>
      <c r="N195" s="1" t="s">
        <v>1538</v>
      </c>
      <c r="O195" s="1" t="s">
        <v>1539</v>
      </c>
      <c r="P195" s="1" t="s">
        <v>1540</v>
      </c>
      <c r="Q195" s="1" t="s">
        <v>1541</v>
      </c>
      <c r="R195" s="1"/>
      <c r="S195" s="7">
        <v>0.0</v>
      </c>
      <c r="T195" s="7">
        <v>0.0</v>
      </c>
      <c r="U195" s="1"/>
      <c r="V195" s="6" t="b">
        <v>1</v>
      </c>
    </row>
    <row r="196" ht="15.75" customHeight="1">
      <c r="A196" s="1" t="s">
        <v>1542</v>
      </c>
      <c r="B196" s="1" t="s">
        <v>1543</v>
      </c>
      <c r="C196" s="1" t="s">
        <v>1544</v>
      </c>
      <c r="D196" s="1" t="s">
        <v>1543</v>
      </c>
      <c r="E196" s="1" t="s">
        <v>1251</v>
      </c>
      <c r="F196" s="1" t="s">
        <v>1251</v>
      </c>
      <c r="G196" s="1" t="s">
        <v>1498</v>
      </c>
      <c r="H196" s="1" t="str">
        <f>IFERROR(__xludf.DUMMYFUNCTION("""COMPUTED_VALUE"""),"Ubiquiti Networks")</f>
        <v>Ubiquiti Networks</v>
      </c>
      <c r="I196" s="1" t="s">
        <v>1498</v>
      </c>
      <c r="J196" s="3">
        <v>16500.0</v>
      </c>
      <c r="K196" s="10" t="s">
        <v>1545</v>
      </c>
      <c r="L196" s="1"/>
      <c r="M196" s="1"/>
      <c r="N196" s="1" t="s">
        <v>1546</v>
      </c>
      <c r="O196" s="1" t="s">
        <v>1547</v>
      </c>
      <c r="P196" s="1" t="s">
        <v>1548</v>
      </c>
      <c r="Q196" s="1" t="s">
        <v>1549</v>
      </c>
      <c r="R196" s="1"/>
      <c r="S196" s="7">
        <v>0.0</v>
      </c>
      <c r="T196" s="7">
        <v>0.0</v>
      </c>
      <c r="U196" s="1"/>
      <c r="V196" s="6" t="b">
        <v>1</v>
      </c>
    </row>
    <row r="197" ht="15.75" customHeight="1">
      <c r="A197" s="1" t="s">
        <v>1550</v>
      </c>
      <c r="B197" s="1" t="s">
        <v>1551</v>
      </c>
      <c r="C197" s="1" t="s">
        <v>1552</v>
      </c>
      <c r="D197" s="1" t="s">
        <v>1551</v>
      </c>
      <c r="E197" s="1" t="s">
        <v>1251</v>
      </c>
      <c r="F197" s="1" t="s">
        <v>1251</v>
      </c>
      <c r="G197" s="1" t="s">
        <v>1498</v>
      </c>
      <c r="H197" s="1" t="str">
        <f>IFERROR(__xludf.DUMMYFUNCTION("""COMPUTED_VALUE"""),"Ubiquiti Networks")</f>
        <v>Ubiquiti Networks</v>
      </c>
      <c r="I197" s="1" t="s">
        <v>1498</v>
      </c>
      <c r="J197" s="3">
        <v>14700.0</v>
      </c>
      <c r="K197" s="10" t="s">
        <v>1553</v>
      </c>
      <c r="L197" s="1"/>
      <c r="M197" s="1"/>
      <c r="N197" s="1" t="s">
        <v>1554</v>
      </c>
      <c r="O197" s="1" t="s">
        <v>1555</v>
      </c>
      <c r="P197" s="1" t="s">
        <v>1556</v>
      </c>
      <c r="Q197" s="1" t="s">
        <v>1557</v>
      </c>
      <c r="R197" s="1"/>
      <c r="S197" s="7">
        <v>0.0</v>
      </c>
      <c r="T197" s="7">
        <v>0.0</v>
      </c>
      <c r="U197" s="1"/>
      <c r="V197" s="6" t="b">
        <v>1</v>
      </c>
    </row>
    <row r="198" ht="15.75" customHeight="1">
      <c r="A198" s="1" t="s">
        <v>1558</v>
      </c>
      <c r="B198" s="1" t="s">
        <v>1559</v>
      </c>
      <c r="C198" s="1" t="s">
        <v>1560</v>
      </c>
      <c r="D198" s="1" t="s">
        <v>1559</v>
      </c>
      <c r="E198" s="1" t="s">
        <v>1251</v>
      </c>
      <c r="F198" s="1" t="s">
        <v>1251</v>
      </c>
      <c r="G198" s="1" t="s">
        <v>1561</v>
      </c>
      <c r="H198" s="1" t="str">
        <f>IFERROR(__xludf.DUMMYFUNCTION("""COMPUTED_VALUE"""),"Ubiquiti Networks")</f>
        <v>Ubiquiti Networks</v>
      </c>
      <c r="I198" s="1" t="s">
        <v>1561</v>
      </c>
      <c r="J198" s="3">
        <v>790.0</v>
      </c>
      <c r="K198" s="16" t="s">
        <v>1562</v>
      </c>
      <c r="L198" s="16" t="s">
        <v>1563</v>
      </c>
      <c r="M198" s="18" t="s">
        <v>1564</v>
      </c>
      <c r="N198" s="1" t="s">
        <v>1565</v>
      </c>
      <c r="O198" s="1" t="s">
        <v>1566</v>
      </c>
      <c r="P198" s="1" t="s">
        <v>1567</v>
      </c>
      <c r="Q198" s="1" t="s">
        <v>1568</v>
      </c>
      <c r="R198" s="1"/>
      <c r="S198" s="7">
        <v>0.0</v>
      </c>
      <c r="T198" s="7">
        <v>0.0</v>
      </c>
      <c r="U198" s="1"/>
      <c r="V198" s="6" t="b">
        <v>1</v>
      </c>
    </row>
    <row r="199" ht="15.75" customHeight="1">
      <c r="A199" s="1" t="s">
        <v>1569</v>
      </c>
      <c r="B199" s="1" t="s">
        <v>1570</v>
      </c>
      <c r="C199" s="1" t="s">
        <v>1571</v>
      </c>
      <c r="D199" s="1" t="s">
        <v>1570</v>
      </c>
      <c r="E199" s="1" t="s">
        <v>1251</v>
      </c>
      <c r="F199" s="1" t="s">
        <v>1251</v>
      </c>
      <c r="G199" s="1" t="s">
        <v>1561</v>
      </c>
      <c r="H199" s="1" t="str">
        <f>IFERROR(__xludf.DUMMYFUNCTION("""COMPUTED_VALUE"""),"Ubiquiti Networks")</f>
        <v>Ubiquiti Networks</v>
      </c>
      <c r="I199" s="1" t="s">
        <v>1561</v>
      </c>
      <c r="J199" s="13">
        <v>1250.0</v>
      </c>
      <c r="K199" s="16" t="s">
        <v>1572</v>
      </c>
      <c r="L199" s="18" t="s">
        <v>1573</v>
      </c>
      <c r="M199" s="1"/>
      <c r="N199" s="1" t="s">
        <v>1574</v>
      </c>
      <c r="O199" s="1" t="s">
        <v>1575</v>
      </c>
      <c r="P199" s="1" t="s">
        <v>1576</v>
      </c>
      <c r="Q199" s="1" t="s">
        <v>1577</v>
      </c>
      <c r="R199" s="1"/>
      <c r="S199" s="7">
        <v>0.0</v>
      </c>
      <c r="T199" s="7">
        <v>0.0</v>
      </c>
      <c r="U199" s="1"/>
      <c r="V199" s="6" t="b">
        <v>1</v>
      </c>
    </row>
    <row r="200" ht="15.75" customHeight="1">
      <c r="A200" s="1" t="s">
        <v>1578</v>
      </c>
      <c r="B200" s="1" t="s">
        <v>1579</v>
      </c>
      <c r="C200" s="1" t="s">
        <v>1580</v>
      </c>
      <c r="D200" s="1" t="s">
        <v>1579</v>
      </c>
      <c r="E200" s="1" t="s">
        <v>1251</v>
      </c>
      <c r="F200" s="1" t="s">
        <v>1251</v>
      </c>
      <c r="G200" s="1" t="s">
        <v>1561</v>
      </c>
      <c r="H200" s="1" t="str">
        <f>IFERROR(__xludf.DUMMYFUNCTION("""COMPUTED_VALUE"""),"Ubiquiti Networks")</f>
        <v>Ubiquiti Networks</v>
      </c>
      <c r="I200" s="1" t="s">
        <v>1561</v>
      </c>
      <c r="J200" s="3">
        <v>1490.0</v>
      </c>
      <c r="K200" s="16" t="s">
        <v>1581</v>
      </c>
      <c r="L200" s="18" t="s">
        <v>1582</v>
      </c>
      <c r="M200" s="1"/>
      <c r="N200" s="1" t="s">
        <v>1583</v>
      </c>
      <c r="O200" s="1" t="s">
        <v>1584</v>
      </c>
      <c r="P200" s="1" t="s">
        <v>1585</v>
      </c>
      <c r="Q200" s="1" t="s">
        <v>1586</v>
      </c>
      <c r="R200" s="1"/>
      <c r="S200" s="7">
        <v>0.0</v>
      </c>
      <c r="T200" s="7">
        <v>0.0</v>
      </c>
      <c r="U200" s="1"/>
      <c r="V200" s="6" t="b">
        <v>1</v>
      </c>
    </row>
    <row r="201" ht="15.75" customHeight="1">
      <c r="A201" s="1" t="s">
        <v>1587</v>
      </c>
      <c r="B201" s="1" t="s">
        <v>1588</v>
      </c>
      <c r="C201" s="1" t="s">
        <v>1589</v>
      </c>
      <c r="D201" s="1" t="s">
        <v>1588</v>
      </c>
      <c r="E201" s="1" t="s">
        <v>1251</v>
      </c>
      <c r="F201" s="1" t="s">
        <v>1251</v>
      </c>
      <c r="G201" s="1" t="s">
        <v>1561</v>
      </c>
      <c r="H201" s="1" t="str">
        <f>IFERROR(__xludf.DUMMYFUNCTION("""COMPUTED_VALUE"""),"Ubiquiti Networks")</f>
        <v>Ubiquiti Networks</v>
      </c>
      <c r="I201" s="1" t="s">
        <v>1561</v>
      </c>
      <c r="J201" s="13">
        <v>2390.0</v>
      </c>
      <c r="K201" s="16" t="s">
        <v>1590</v>
      </c>
      <c r="L201" s="18" t="s">
        <v>1591</v>
      </c>
      <c r="M201" s="1"/>
      <c r="N201" s="1" t="s">
        <v>1592</v>
      </c>
      <c r="O201" s="1" t="s">
        <v>1593</v>
      </c>
      <c r="P201" s="1" t="s">
        <v>1594</v>
      </c>
      <c r="Q201" s="1" t="s">
        <v>1595</v>
      </c>
      <c r="R201" s="1"/>
      <c r="S201" s="7">
        <v>0.0</v>
      </c>
      <c r="T201" s="7">
        <v>0.0</v>
      </c>
      <c r="U201" s="1"/>
      <c r="V201" s="6" t="b">
        <v>1</v>
      </c>
    </row>
    <row r="202" ht="15.75" customHeight="1">
      <c r="A202" s="1" t="s">
        <v>1596</v>
      </c>
      <c r="B202" s="1" t="s">
        <v>1597</v>
      </c>
      <c r="C202" s="1" t="s">
        <v>1598</v>
      </c>
      <c r="D202" s="1" t="s">
        <v>1597</v>
      </c>
      <c r="E202" s="1" t="s">
        <v>1251</v>
      </c>
      <c r="F202" s="1" t="s">
        <v>1251</v>
      </c>
      <c r="G202" s="1" t="s">
        <v>1561</v>
      </c>
      <c r="H202" s="1" t="str">
        <f>IFERROR(__xludf.DUMMYFUNCTION("""COMPUTED_VALUE"""),"Ubiquiti Networks")</f>
        <v>Ubiquiti Networks</v>
      </c>
      <c r="I202" s="1" t="s">
        <v>1561</v>
      </c>
      <c r="J202" s="13">
        <v>3990.0</v>
      </c>
      <c r="K202" s="16" t="s">
        <v>1599</v>
      </c>
      <c r="L202" s="16" t="s">
        <v>1600</v>
      </c>
      <c r="M202" s="1"/>
      <c r="N202" s="1" t="s">
        <v>1601</v>
      </c>
      <c r="O202" s="1" t="s">
        <v>1602</v>
      </c>
      <c r="P202" s="1" t="s">
        <v>1603</v>
      </c>
      <c r="Q202" s="1" t="s">
        <v>1604</v>
      </c>
      <c r="R202" s="1"/>
      <c r="S202" s="7">
        <v>0.0</v>
      </c>
      <c r="T202" s="7">
        <v>0.0</v>
      </c>
      <c r="U202" s="1"/>
      <c r="V202" s="6" t="b">
        <v>1</v>
      </c>
    </row>
    <row r="203" ht="15.75" customHeight="1">
      <c r="A203" s="1" t="s">
        <v>1605</v>
      </c>
      <c r="B203" s="1" t="s">
        <v>1606</v>
      </c>
      <c r="C203" s="1" t="s">
        <v>1607</v>
      </c>
      <c r="D203" s="1" t="s">
        <v>1606</v>
      </c>
      <c r="E203" s="1" t="s">
        <v>1251</v>
      </c>
      <c r="F203" s="1" t="s">
        <v>1251</v>
      </c>
      <c r="G203" s="1" t="s">
        <v>1561</v>
      </c>
      <c r="H203" s="1" t="str">
        <f>IFERROR(__xludf.DUMMYFUNCTION("""COMPUTED_VALUE"""),"Ubiquiti Networks")</f>
        <v>Ubiquiti Networks</v>
      </c>
      <c r="I203" s="1" t="s">
        <v>1561</v>
      </c>
      <c r="J203" s="3">
        <v>6200.0</v>
      </c>
      <c r="K203" s="16" t="s">
        <v>1608</v>
      </c>
      <c r="L203" s="18" t="s">
        <v>1609</v>
      </c>
      <c r="M203" s="1"/>
      <c r="N203" s="1" t="s">
        <v>1610</v>
      </c>
      <c r="O203" s="1" t="s">
        <v>1611</v>
      </c>
      <c r="P203" s="1" t="s">
        <v>1612</v>
      </c>
      <c r="Q203" s="1" t="s">
        <v>1604</v>
      </c>
      <c r="R203" s="1"/>
      <c r="S203" s="7">
        <v>0.0</v>
      </c>
      <c r="T203" s="7">
        <v>0.0</v>
      </c>
      <c r="U203" s="1"/>
      <c r="V203" s="6" t="b">
        <v>1</v>
      </c>
    </row>
    <row r="204" ht="15.75" customHeight="1">
      <c r="A204" s="1" t="s">
        <v>1613</v>
      </c>
      <c r="B204" s="1" t="s">
        <v>1614</v>
      </c>
      <c r="C204" s="1" t="s">
        <v>1615</v>
      </c>
      <c r="D204" s="1" t="s">
        <v>1614</v>
      </c>
      <c r="E204" s="1" t="s">
        <v>1251</v>
      </c>
      <c r="F204" s="1" t="s">
        <v>1251</v>
      </c>
      <c r="G204" s="1" t="s">
        <v>1561</v>
      </c>
      <c r="H204" s="1" t="str">
        <f>IFERROR(__xludf.DUMMYFUNCTION("""COMPUTED_VALUE"""),"Ubiquiti Networks")</f>
        <v>Ubiquiti Networks</v>
      </c>
      <c r="I204" s="1" t="s">
        <v>1561</v>
      </c>
      <c r="J204" s="3">
        <v>0.0</v>
      </c>
      <c r="K204" s="16" t="s">
        <v>1616</v>
      </c>
      <c r="L204" s="16" t="s">
        <v>1617</v>
      </c>
      <c r="M204" s="16" t="s">
        <v>1618</v>
      </c>
      <c r="N204" s="1" t="s">
        <v>1619</v>
      </c>
      <c r="O204" s="1" t="s">
        <v>1620</v>
      </c>
      <c r="P204" s="1" t="s">
        <v>1621</v>
      </c>
      <c r="Q204" s="1" t="s">
        <v>1622</v>
      </c>
      <c r="R204" s="1"/>
      <c r="S204" s="7">
        <v>0.0</v>
      </c>
      <c r="T204" s="7">
        <v>0.0</v>
      </c>
      <c r="U204" s="1"/>
      <c r="V204" s="6" t="b">
        <v>1</v>
      </c>
    </row>
    <row r="205" ht="15.75" customHeight="1">
      <c r="A205" s="1" t="s">
        <v>1623</v>
      </c>
      <c r="B205" s="1" t="s">
        <v>1624</v>
      </c>
      <c r="C205" s="1" t="s">
        <v>1625</v>
      </c>
      <c r="D205" s="1" t="s">
        <v>1624</v>
      </c>
      <c r="E205" s="1" t="s">
        <v>1251</v>
      </c>
      <c r="F205" s="1" t="s">
        <v>1251</v>
      </c>
      <c r="G205" s="1" t="s">
        <v>1561</v>
      </c>
      <c r="H205" s="1" t="str">
        <f>IFERROR(__xludf.DUMMYFUNCTION("""COMPUTED_VALUE"""),"Ubiquiti Networks")</f>
        <v>Ubiquiti Networks</v>
      </c>
      <c r="I205" s="1" t="s">
        <v>1561</v>
      </c>
      <c r="J205" s="3">
        <v>0.0</v>
      </c>
      <c r="K205" s="16" t="s">
        <v>1626</v>
      </c>
      <c r="L205" s="16" t="s">
        <v>1627</v>
      </c>
      <c r="M205" s="18" t="s">
        <v>1628</v>
      </c>
      <c r="N205" s="1" t="s">
        <v>1629</v>
      </c>
      <c r="O205" s="1" t="s">
        <v>1630</v>
      </c>
      <c r="P205" s="1" t="s">
        <v>1631</v>
      </c>
      <c r="Q205" s="1" t="s">
        <v>1632</v>
      </c>
      <c r="R205" s="1"/>
      <c r="S205" s="7">
        <v>0.0</v>
      </c>
      <c r="T205" s="7">
        <v>0.0</v>
      </c>
      <c r="U205" s="1"/>
      <c r="V205" s="6" t="b">
        <v>1</v>
      </c>
    </row>
    <row r="206" ht="15.75" customHeight="1">
      <c r="A206" s="1" t="s">
        <v>1633</v>
      </c>
      <c r="B206" s="1" t="s">
        <v>1634</v>
      </c>
      <c r="C206" s="1" t="s">
        <v>1635</v>
      </c>
      <c r="D206" s="1" t="s">
        <v>1634</v>
      </c>
      <c r="E206" s="1" t="s">
        <v>1251</v>
      </c>
      <c r="F206" s="1" t="s">
        <v>1251</v>
      </c>
      <c r="G206" s="1" t="s">
        <v>1561</v>
      </c>
      <c r="H206" s="1" t="str">
        <f>IFERROR(__xludf.DUMMYFUNCTION("""COMPUTED_VALUE"""),"Ubiquiti Networks")</f>
        <v>Ubiquiti Networks</v>
      </c>
      <c r="I206" s="1" t="s">
        <v>1561</v>
      </c>
      <c r="J206" s="3">
        <v>950.0</v>
      </c>
      <c r="K206" s="16" t="s">
        <v>1636</v>
      </c>
      <c r="L206" s="16" t="s">
        <v>1637</v>
      </c>
      <c r="M206" s="18" t="s">
        <v>1638</v>
      </c>
      <c r="N206" s="1" t="s">
        <v>1639</v>
      </c>
      <c r="O206" s="1" t="s">
        <v>1640</v>
      </c>
      <c r="P206" s="1" t="s">
        <v>1641</v>
      </c>
      <c r="Q206" s="1" t="s">
        <v>1642</v>
      </c>
      <c r="R206" s="1"/>
      <c r="S206" s="7">
        <v>0.0</v>
      </c>
      <c r="T206" s="7">
        <v>0.0</v>
      </c>
      <c r="U206" s="1"/>
      <c r="V206" s="6" t="b">
        <v>1</v>
      </c>
    </row>
    <row r="207" ht="15.75" customHeight="1">
      <c r="A207" s="1" t="s">
        <v>1643</v>
      </c>
      <c r="B207" s="1" t="s">
        <v>1644</v>
      </c>
      <c r="C207" s="1" t="s">
        <v>1645</v>
      </c>
      <c r="D207" s="1" t="s">
        <v>1644</v>
      </c>
      <c r="E207" s="1" t="s">
        <v>1251</v>
      </c>
      <c r="F207" s="1" t="s">
        <v>1251</v>
      </c>
      <c r="G207" s="1" t="s">
        <v>1561</v>
      </c>
      <c r="H207" s="1" t="str">
        <f>IFERROR(__xludf.DUMMYFUNCTION("""COMPUTED_VALUE"""),"Ubiquiti Networks")</f>
        <v>Ubiquiti Networks</v>
      </c>
      <c r="I207" s="1" t="s">
        <v>1561</v>
      </c>
      <c r="J207" s="3">
        <v>3190.0</v>
      </c>
      <c r="K207" s="16" t="s">
        <v>1646</v>
      </c>
      <c r="L207" s="16" t="s">
        <v>1647</v>
      </c>
      <c r="M207" s="18" t="s">
        <v>1648</v>
      </c>
      <c r="N207" s="1" t="s">
        <v>1649</v>
      </c>
      <c r="O207" s="1" t="s">
        <v>1650</v>
      </c>
      <c r="P207" s="1" t="s">
        <v>1651</v>
      </c>
      <c r="Q207" s="1" t="s">
        <v>1652</v>
      </c>
      <c r="R207" s="1"/>
      <c r="S207" s="7">
        <v>0.0</v>
      </c>
      <c r="T207" s="7">
        <v>0.0</v>
      </c>
      <c r="U207" s="1"/>
      <c r="V207" s="6" t="b">
        <v>1</v>
      </c>
    </row>
    <row r="208" ht="15.75" customHeight="1">
      <c r="A208" s="1" t="s">
        <v>1653</v>
      </c>
      <c r="B208" s="1" t="s">
        <v>1654</v>
      </c>
      <c r="C208" s="1" t="s">
        <v>1655</v>
      </c>
      <c r="D208" s="1" t="s">
        <v>1654</v>
      </c>
      <c r="E208" s="1" t="s">
        <v>1251</v>
      </c>
      <c r="F208" s="1" t="s">
        <v>1251</v>
      </c>
      <c r="G208" s="1" t="s">
        <v>1561</v>
      </c>
      <c r="H208" s="1" t="str">
        <f>IFERROR(__xludf.DUMMYFUNCTION("""COMPUTED_VALUE"""),"Ubiquiti Networks")</f>
        <v>Ubiquiti Networks</v>
      </c>
      <c r="I208" s="1" t="s">
        <v>1561</v>
      </c>
      <c r="J208" s="3">
        <v>1900.0</v>
      </c>
      <c r="K208" s="16" t="s">
        <v>1656</v>
      </c>
      <c r="L208" s="16" t="s">
        <v>1657</v>
      </c>
      <c r="M208" s="16" t="s">
        <v>1658</v>
      </c>
      <c r="N208" s="1" t="s">
        <v>1659</v>
      </c>
      <c r="O208" s="1" t="s">
        <v>1660</v>
      </c>
      <c r="P208" s="1" t="s">
        <v>1661</v>
      </c>
      <c r="Q208" s="1" t="s">
        <v>1662</v>
      </c>
      <c r="R208" s="1"/>
      <c r="S208" s="7">
        <v>0.0</v>
      </c>
      <c r="T208" s="7">
        <v>0.0</v>
      </c>
      <c r="U208" s="1"/>
      <c r="V208" s="6" t="b">
        <v>1</v>
      </c>
    </row>
    <row r="209" ht="15.75" customHeight="1">
      <c r="A209" s="1" t="s">
        <v>1663</v>
      </c>
      <c r="B209" s="1" t="s">
        <v>1664</v>
      </c>
      <c r="C209" s="1" t="s">
        <v>1665</v>
      </c>
      <c r="D209" s="1" t="s">
        <v>1664</v>
      </c>
      <c r="E209" s="1" t="s">
        <v>1251</v>
      </c>
      <c r="F209" s="1" t="s">
        <v>1251</v>
      </c>
      <c r="G209" s="1" t="s">
        <v>1561</v>
      </c>
      <c r="H209" s="1" t="str">
        <f>IFERROR(__xludf.DUMMYFUNCTION("""COMPUTED_VALUE"""),"Ubiquiti Networks")</f>
        <v>Ubiquiti Networks</v>
      </c>
      <c r="I209" s="1" t="s">
        <v>1561</v>
      </c>
      <c r="J209" s="3">
        <v>795.0</v>
      </c>
      <c r="K209" s="16" t="s">
        <v>1666</v>
      </c>
      <c r="L209" s="16" t="s">
        <v>1667</v>
      </c>
      <c r="M209" s="18" t="s">
        <v>1668</v>
      </c>
      <c r="N209" s="1" t="s">
        <v>1669</v>
      </c>
      <c r="O209" s="1" t="s">
        <v>1670</v>
      </c>
      <c r="P209" s="1" t="s">
        <v>1671</v>
      </c>
      <c r="Q209" s="1" t="s">
        <v>1672</v>
      </c>
      <c r="R209" s="1"/>
      <c r="S209" s="7">
        <v>0.0</v>
      </c>
      <c r="T209" s="7">
        <v>0.0</v>
      </c>
      <c r="U209" s="1"/>
      <c r="V209" s="6" t="b">
        <v>1</v>
      </c>
    </row>
    <row r="210" ht="15.75" customHeight="1">
      <c r="A210" s="1" t="s">
        <v>1673</v>
      </c>
      <c r="B210" s="1" t="s">
        <v>1674</v>
      </c>
      <c r="C210" s="1" t="s">
        <v>1675</v>
      </c>
      <c r="D210" s="1" t="s">
        <v>1674</v>
      </c>
      <c r="E210" s="1" t="s">
        <v>1251</v>
      </c>
      <c r="F210" s="1" t="s">
        <v>1251</v>
      </c>
      <c r="G210" s="1" t="s">
        <v>1561</v>
      </c>
      <c r="H210" s="1" t="str">
        <f>IFERROR(__xludf.DUMMYFUNCTION("""COMPUTED_VALUE"""),"Ubiquiti Networks")</f>
        <v>Ubiquiti Networks</v>
      </c>
      <c r="I210" s="1" t="s">
        <v>1561</v>
      </c>
      <c r="J210" s="3">
        <v>1990.0</v>
      </c>
      <c r="K210" s="16" t="s">
        <v>1676</v>
      </c>
      <c r="L210" s="16" t="s">
        <v>1677</v>
      </c>
      <c r="M210" s="18" t="s">
        <v>1678</v>
      </c>
      <c r="N210" s="1" t="s">
        <v>1679</v>
      </c>
      <c r="O210" s="1" t="s">
        <v>1680</v>
      </c>
      <c r="P210" s="1" t="s">
        <v>1681</v>
      </c>
      <c r="Q210" s="1" t="s">
        <v>1682</v>
      </c>
      <c r="R210" s="1"/>
      <c r="S210" s="7">
        <v>0.0</v>
      </c>
      <c r="T210" s="7">
        <v>0.0</v>
      </c>
      <c r="U210" s="1"/>
      <c r="V210" s="6" t="b">
        <v>1</v>
      </c>
    </row>
    <row r="211" ht="15.75" customHeight="1">
      <c r="A211" s="1" t="s">
        <v>1683</v>
      </c>
      <c r="B211" s="1" t="s">
        <v>1684</v>
      </c>
      <c r="C211" s="1" t="s">
        <v>1685</v>
      </c>
      <c r="D211" s="1" t="s">
        <v>1684</v>
      </c>
      <c r="E211" s="1" t="s">
        <v>1251</v>
      </c>
      <c r="F211" s="1" t="s">
        <v>1251</v>
      </c>
      <c r="G211" s="1" t="s">
        <v>1561</v>
      </c>
      <c r="H211" s="1" t="str">
        <f>IFERROR(__xludf.DUMMYFUNCTION("""COMPUTED_VALUE"""),"Ubiquiti Networks")</f>
        <v>Ubiquiti Networks</v>
      </c>
      <c r="I211" s="1" t="s">
        <v>1561</v>
      </c>
      <c r="J211" s="3">
        <v>650.0</v>
      </c>
      <c r="K211" s="16" t="s">
        <v>1686</v>
      </c>
      <c r="L211" s="16" t="s">
        <v>1687</v>
      </c>
      <c r="M211" s="18" t="s">
        <v>1688</v>
      </c>
      <c r="N211" s="1" t="s">
        <v>1689</v>
      </c>
      <c r="O211" s="1" t="s">
        <v>1690</v>
      </c>
      <c r="P211" s="1" t="s">
        <v>1691</v>
      </c>
      <c r="Q211" s="1" t="s">
        <v>1692</v>
      </c>
      <c r="R211" s="1"/>
      <c r="S211" s="7">
        <v>0.0</v>
      </c>
      <c r="T211" s="7">
        <v>0.0</v>
      </c>
      <c r="U211" s="1"/>
      <c r="V211" s="6" t="b">
        <v>1</v>
      </c>
    </row>
    <row r="212" ht="15.75" customHeight="1">
      <c r="A212" s="1" t="s">
        <v>1693</v>
      </c>
      <c r="B212" s="1" t="s">
        <v>1694</v>
      </c>
      <c r="C212" s="1" t="s">
        <v>1695</v>
      </c>
      <c r="D212" s="1" t="s">
        <v>1694</v>
      </c>
      <c r="E212" s="1" t="s">
        <v>1251</v>
      </c>
      <c r="F212" s="1" t="s">
        <v>1251</v>
      </c>
      <c r="G212" s="1" t="s">
        <v>1561</v>
      </c>
      <c r="H212" s="1" t="str">
        <f>IFERROR(__xludf.DUMMYFUNCTION("""COMPUTED_VALUE"""),"Ubiquiti Networks")</f>
        <v>Ubiquiti Networks</v>
      </c>
      <c r="I212" s="1" t="s">
        <v>1561</v>
      </c>
      <c r="J212" s="3">
        <v>595.0</v>
      </c>
      <c r="K212" s="16" t="s">
        <v>1696</v>
      </c>
      <c r="L212" s="16" t="s">
        <v>1697</v>
      </c>
      <c r="M212" s="18" t="s">
        <v>1698</v>
      </c>
      <c r="N212" s="1" t="s">
        <v>1699</v>
      </c>
      <c r="O212" s="1" t="s">
        <v>1700</v>
      </c>
      <c r="P212" s="1" t="s">
        <v>1701</v>
      </c>
      <c r="Q212" s="1" t="s">
        <v>1702</v>
      </c>
      <c r="R212" s="1"/>
      <c r="S212" s="7">
        <v>0.0</v>
      </c>
      <c r="T212" s="7">
        <v>0.0</v>
      </c>
      <c r="U212" s="1"/>
      <c r="V212" s="6" t="b">
        <v>1</v>
      </c>
    </row>
    <row r="213" ht="15.75" customHeight="1">
      <c r="A213" s="1" t="s">
        <v>1703</v>
      </c>
      <c r="B213" s="1" t="s">
        <v>1704</v>
      </c>
      <c r="C213" s="1" t="s">
        <v>1705</v>
      </c>
      <c r="D213" s="1" t="s">
        <v>1704</v>
      </c>
      <c r="E213" s="1" t="s">
        <v>1251</v>
      </c>
      <c r="F213" s="1" t="s">
        <v>1251</v>
      </c>
      <c r="G213" s="1" t="s">
        <v>1561</v>
      </c>
      <c r="H213" s="1" t="str">
        <f>IFERROR(__xludf.DUMMYFUNCTION("""COMPUTED_VALUE"""),"Ubiquiti Networks")</f>
        <v>Ubiquiti Networks</v>
      </c>
      <c r="I213" s="1" t="s">
        <v>1561</v>
      </c>
      <c r="J213" s="3">
        <v>4500.0</v>
      </c>
      <c r="K213" s="16" t="s">
        <v>1706</v>
      </c>
      <c r="L213" s="16" t="s">
        <v>1707</v>
      </c>
      <c r="M213" s="18" t="s">
        <v>1708</v>
      </c>
      <c r="N213" s="1" t="s">
        <v>1709</v>
      </c>
      <c r="O213" s="1" t="s">
        <v>1710</v>
      </c>
      <c r="P213" s="1" t="s">
        <v>1711</v>
      </c>
      <c r="Q213" s="1" t="s">
        <v>1712</v>
      </c>
      <c r="R213" s="1"/>
      <c r="S213" s="7">
        <v>0.0</v>
      </c>
      <c r="T213" s="7">
        <v>0.0</v>
      </c>
      <c r="U213" s="1"/>
      <c r="V213" s="6" t="b">
        <v>1</v>
      </c>
    </row>
    <row r="214" ht="15.75" customHeight="1">
      <c r="A214" s="1" t="s">
        <v>1713</v>
      </c>
      <c r="B214" s="1" t="s">
        <v>1714</v>
      </c>
      <c r="C214" s="1" t="s">
        <v>1715</v>
      </c>
      <c r="D214" s="1" t="s">
        <v>1714</v>
      </c>
      <c r="E214" s="1" t="s">
        <v>1251</v>
      </c>
      <c r="F214" s="1" t="s">
        <v>1251</v>
      </c>
      <c r="G214" s="2" t="s">
        <v>27</v>
      </c>
      <c r="H214" s="2" t="str">
        <f>IFERROR(__xludf.DUMMYFUNCTION("""COMPUTED_VALUE"""),"Ubiquiti Networks")</f>
        <v>Ubiquiti Networks</v>
      </c>
      <c r="I214" s="2" t="s">
        <v>27</v>
      </c>
      <c r="J214" s="3">
        <v>5790.0</v>
      </c>
      <c r="K214" s="10" t="s">
        <v>1716</v>
      </c>
      <c r="L214" s="1"/>
      <c r="M214" s="1"/>
      <c r="N214" s="1" t="s">
        <v>1717</v>
      </c>
      <c r="O214" s="1" t="s">
        <v>1718</v>
      </c>
      <c r="P214" s="1" t="s">
        <v>1719</v>
      </c>
      <c r="Q214" s="1" t="s">
        <v>1720</v>
      </c>
      <c r="R214" s="1" t="s">
        <v>35</v>
      </c>
      <c r="S214" s="7">
        <v>0.0</v>
      </c>
      <c r="T214" s="7">
        <v>0.0</v>
      </c>
      <c r="U214" s="1"/>
      <c r="V214" s="6" t="b">
        <v>1</v>
      </c>
    </row>
    <row r="215" ht="15.75" customHeight="1">
      <c r="A215" s="1" t="s">
        <v>1721</v>
      </c>
      <c r="B215" s="1" t="s">
        <v>1722</v>
      </c>
      <c r="C215" s="1" t="s">
        <v>1723</v>
      </c>
      <c r="D215" s="1" t="s">
        <v>1722</v>
      </c>
      <c r="E215" s="1" t="s">
        <v>1251</v>
      </c>
      <c r="F215" s="1" t="s">
        <v>1251</v>
      </c>
      <c r="G215" s="2" t="s">
        <v>27</v>
      </c>
      <c r="H215" s="2" t="str">
        <f>IFERROR(__xludf.DUMMYFUNCTION("""COMPUTED_VALUE"""),"Ubiquiti Networks")</f>
        <v>Ubiquiti Networks</v>
      </c>
      <c r="I215" s="2" t="s">
        <v>27</v>
      </c>
      <c r="J215" s="3">
        <v>8090.0</v>
      </c>
      <c r="K215" s="10" t="s">
        <v>1724</v>
      </c>
      <c r="L215" s="1"/>
      <c r="M215" s="1"/>
      <c r="N215" s="1" t="s">
        <v>1725</v>
      </c>
      <c r="O215" s="1" t="s">
        <v>1726</v>
      </c>
      <c r="P215" s="1" t="s">
        <v>1727</v>
      </c>
      <c r="Q215" s="1" t="s">
        <v>1728</v>
      </c>
      <c r="R215" s="1" t="s">
        <v>35</v>
      </c>
      <c r="S215" s="7">
        <v>0.0</v>
      </c>
      <c r="T215" s="7">
        <v>0.0</v>
      </c>
      <c r="U215" s="1"/>
      <c r="V215" s="6" t="b">
        <v>1</v>
      </c>
    </row>
    <row r="216" ht="15.75" customHeight="1">
      <c r="A216" s="1" t="s">
        <v>1729</v>
      </c>
      <c r="B216" s="1" t="s">
        <v>1730</v>
      </c>
      <c r="C216" s="1" t="s">
        <v>1731</v>
      </c>
      <c r="D216" s="1" t="s">
        <v>1730</v>
      </c>
      <c r="E216" s="1" t="s">
        <v>1251</v>
      </c>
      <c r="F216" s="1" t="s">
        <v>1251</v>
      </c>
      <c r="G216" s="2" t="s">
        <v>27</v>
      </c>
      <c r="H216" s="2" t="str">
        <f>IFERROR(__xludf.DUMMYFUNCTION("""COMPUTED_VALUE"""),"Ubiquiti Networks")</f>
        <v>Ubiquiti Networks</v>
      </c>
      <c r="I216" s="2" t="s">
        <v>27</v>
      </c>
      <c r="J216" s="3">
        <v>8090.0</v>
      </c>
      <c r="K216" s="10" t="s">
        <v>1732</v>
      </c>
      <c r="L216" s="1"/>
      <c r="M216" s="1"/>
      <c r="N216" s="1" t="s">
        <v>1733</v>
      </c>
      <c r="O216" s="1" t="s">
        <v>1734</v>
      </c>
      <c r="P216" s="1" t="s">
        <v>1735</v>
      </c>
      <c r="Q216" s="1" t="s">
        <v>1736</v>
      </c>
      <c r="R216" s="1" t="s">
        <v>35</v>
      </c>
      <c r="S216" s="7">
        <v>0.0</v>
      </c>
      <c r="T216" s="7">
        <v>0.0</v>
      </c>
      <c r="U216" s="1"/>
      <c r="V216" s="6" t="b">
        <v>1</v>
      </c>
    </row>
    <row r="217" ht="15.75" customHeight="1">
      <c r="A217" s="1" t="s">
        <v>1737</v>
      </c>
      <c r="B217" s="1" t="s">
        <v>1738</v>
      </c>
      <c r="C217" s="1" t="s">
        <v>1739</v>
      </c>
      <c r="D217" s="1" t="s">
        <v>1738</v>
      </c>
      <c r="E217" s="1" t="s">
        <v>1251</v>
      </c>
      <c r="F217" s="1" t="s">
        <v>1251</v>
      </c>
      <c r="G217" s="2" t="s">
        <v>27</v>
      </c>
      <c r="H217" s="2" t="str">
        <f>IFERROR(__xludf.DUMMYFUNCTION("""COMPUTED_VALUE"""),"Ubiquiti Networks")</f>
        <v>Ubiquiti Networks</v>
      </c>
      <c r="I217" s="2" t="s">
        <v>27</v>
      </c>
      <c r="J217" s="3">
        <v>6390.0</v>
      </c>
      <c r="K217" s="10" t="s">
        <v>1740</v>
      </c>
      <c r="L217" s="1"/>
      <c r="M217" s="1"/>
      <c r="N217" s="1" t="s">
        <v>1741</v>
      </c>
      <c r="O217" s="1" t="s">
        <v>1742</v>
      </c>
      <c r="P217" s="1" t="s">
        <v>1743</v>
      </c>
      <c r="Q217" s="1" t="s">
        <v>1744</v>
      </c>
      <c r="R217" s="1" t="s">
        <v>35</v>
      </c>
      <c r="S217" s="7">
        <v>0.0</v>
      </c>
      <c r="T217" s="7">
        <v>0.0</v>
      </c>
      <c r="U217" s="1"/>
      <c r="V217" s="6" t="b">
        <v>1</v>
      </c>
    </row>
    <row r="218" ht="15.75" customHeight="1">
      <c r="A218" s="1" t="s">
        <v>1745</v>
      </c>
      <c r="B218" s="1" t="s">
        <v>1746</v>
      </c>
      <c r="C218" s="1" t="s">
        <v>1747</v>
      </c>
      <c r="D218" s="1" t="s">
        <v>1746</v>
      </c>
      <c r="E218" s="1" t="s">
        <v>1251</v>
      </c>
      <c r="F218" s="1" t="s">
        <v>1251</v>
      </c>
      <c r="G218" s="2" t="s">
        <v>27</v>
      </c>
      <c r="H218" s="2" t="str">
        <f>IFERROR(__xludf.DUMMYFUNCTION("""COMPUTED_VALUE"""),"Ubiquiti Networks")</f>
        <v>Ubiquiti Networks</v>
      </c>
      <c r="I218" s="2" t="s">
        <v>27</v>
      </c>
      <c r="J218" s="3">
        <v>3990.0</v>
      </c>
      <c r="K218" s="10" t="s">
        <v>1748</v>
      </c>
      <c r="L218" s="1"/>
      <c r="M218" s="1"/>
      <c r="N218" s="1" t="s">
        <v>1749</v>
      </c>
      <c r="O218" s="1" t="s">
        <v>1750</v>
      </c>
      <c r="P218" s="1" t="s">
        <v>1751</v>
      </c>
      <c r="Q218" s="1" t="s">
        <v>1752</v>
      </c>
      <c r="R218" s="1" t="s">
        <v>35</v>
      </c>
      <c r="S218" s="7">
        <v>0.0</v>
      </c>
      <c r="T218" s="7">
        <v>0.0</v>
      </c>
      <c r="U218" s="1"/>
      <c r="V218" s="6" t="b">
        <v>1</v>
      </c>
    </row>
    <row r="219" ht="15.75" customHeight="1">
      <c r="A219" s="1" t="s">
        <v>1753</v>
      </c>
      <c r="B219" s="1" t="s">
        <v>1754</v>
      </c>
      <c r="C219" s="1" t="s">
        <v>1755</v>
      </c>
      <c r="D219" s="1" t="s">
        <v>1754</v>
      </c>
      <c r="E219" s="1" t="s">
        <v>1251</v>
      </c>
      <c r="F219" s="1" t="s">
        <v>1251</v>
      </c>
      <c r="G219" s="2" t="s">
        <v>27</v>
      </c>
      <c r="H219" s="2" t="str">
        <f>IFERROR(__xludf.DUMMYFUNCTION("""COMPUTED_VALUE"""),"Ubiquiti Networks")</f>
        <v>Ubiquiti Networks</v>
      </c>
      <c r="I219" s="2" t="s">
        <v>27</v>
      </c>
      <c r="J219" s="3">
        <v>11500.0</v>
      </c>
      <c r="K219" s="10" t="s">
        <v>1756</v>
      </c>
      <c r="L219" s="1"/>
      <c r="M219" s="1"/>
      <c r="N219" s="1" t="s">
        <v>1757</v>
      </c>
      <c r="O219" s="1" t="s">
        <v>1758</v>
      </c>
      <c r="P219" s="1" t="s">
        <v>1759</v>
      </c>
      <c r="Q219" s="1" t="s">
        <v>1760</v>
      </c>
      <c r="R219" s="1" t="s">
        <v>35</v>
      </c>
      <c r="S219" s="7">
        <v>0.0</v>
      </c>
      <c r="T219" s="7">
        <v>0.0</v>
      </c>
      <c r="U219" s="1"/>
      <c r="V219" s="6" t="b">
        <v>1</v>
      </c>
    </row>
    <row r="220" ht="15.75" customHeight="1">
      <c r="A220" s="1" t="s">
        <v>1761</v>
      </c>
      <c r="B220" s="1" t="s">
        <v>1762</v>
      </c>
      <c r="C220" s="1" t="s">
        <v>1763</v>
      </c>
      <c r="D220" s="1" t="s">
        <v>1762</v>
      </c>
      <c r="E220" s="1" t="s">
        <v>1251</v>
      </c>
      <c r="F220" s="1" t="s">
        <v>1251</v>
      </c>
      <c r="G220" s="2" t="s">
        <v>27</v>
      </c>
      <c r="H220" s="2" t="str">
        <f>IFERROR(__xludf.DUMMYFUNCTION("""COMPUTED_VALUE"""),"Ubiquiti Networks")</f>
        <v>Ubiquiti Networks</v>
      </c>
      <c r="I220" s="2" t="s">
        <v>27</v>
      </c>
      <c r="J220" s="3">
        <v>8090.0</v>
      </c>
      <c r="K220" s="10" t="s">
        <v>1764</v>
      </c>
      <c r="L220" s="1"/>
      <c r="M220" s="1"/>
      <c r="N220" s="1" t="s">
        <v>1765</v>
      </c>
      <c r="O220" s="1" t="s">
        <v>1766</v>
      </c>
      <c r="P220" s="1" t="s">
        <v>1767</v>
      </c>
      <c r="Q220" s="1" t="s">
        <v>1768</v>
      </c>
      <c r="R220" s="1" t="s">
        <v>35</v>
      </c>
      <c r="S220" s="7">
        <v>0.0</v>
      </c>
      <c r="T220" s="7">
        <v>0.0</v>
      </c>
      <c r="U220" s="1"/>
      <c r="V220" s="6" t="b">
        <v>1</v>
      </c>
    </row>
    <row r="221" ht="15.75" customHeight="1">
      <c r="A221" s="1" t="s">
        <v>1769</v>
      </c>
      <c r="B221" s="1" t="s">
        <v>1770</v>
      </c>
      <c r="C221" s="1" t="s">
        <v>1771</v>
      </c>
      <c r="D221" s="1" t="s">
        <v>1770</v>
      </c>
      <c r="E221" s="1" t="s">
        <v>1251</v>
      </c>
      <c r="F221" s="1" t="s">
        <v>1251</v>
      </c>
      <c r="G221" s="2" t="s">
        <v>27</v>
      </c>
      <c r="H221" s="2" t="str">
        <f>IFERROR(__xludf.DUMMYFUNCTION("""COMPUTED_VALUE"""),"Ubiquiti Networks")</f>
        <v>Ubiquiti Networks</v>
      </c>
      <c r="I221" s="2" t="s">
        <v>27</v>
      </c>
      <c r="J221" s="3">
        <v>3350.0</v>
      </c>
      <c r="K221" s="10" t="s">
        <v>1772</v>
      </c>
      <c r="L221" s="1"/>
      <c r="M221" s="1"/>
      <c r="N221" s="1" t="s">
        <v>1773</v>
      </c>
      <c r="O221" s="1" t="s">
        <v>1774</v>
      </c>
      <c r="P221" s="1" t="s">
        <v>1775</v>
      </c>
      <c r="Q221" s="1" t="s">
        <v>1776</v>
      </c>
      <c r="R221" s="1"/>
      <c r="S221" s="7">
        <v>0.0</v>
      </c>
      <c r="T221" s="7">
        <v>0.0</v>
      </c>
      <c r="U221" s="1"/>
      <c r="V221" s="6" t="b">
        <v>1</v>
      </c>
    </row>
    <row r="222" ht="15.75" customHeight="1">
      <c r="A222" s="1" t="s">
        <v>1777</v>
      </c>
      <c r="B222" s="1" t="s">
        <v>1778</v>
      </c>
      <c r="C222" s="1" t="s">
        <v>1779</v>
      </c>
      <c r="D222" s="1" t="s">
        <v>1778</v>
      </c>
      <c r="E222" s="1" t="s">
        <v>1251</v>
      </c>
      <c r="F222" s="1" t="s">
        <v>1251</v>
      </c>
      <c r="G222" s="2" t="s">
        <v>27</v>
      </c>
      <c r="H222" s="2" t="str">
        <f>IFERROR(__xludf.DUMMYFUNCTION("""COMPUTED_VALUE"""),"Ubiquiti Networks")</f>
        <v>Ubiquiti Networks</v>
      </c>
      <c r="I222" s="2" t="s">
        <v>27</v>
      </c>
      <c r="J222" s="3">
        <v>7190.0</v>
      </c>
      <c r="K222" s="10" t="s">
        <v>1780</v>
      </c>
      <c r="L222" s="1"/>
      <c r="M222" s="1"/>
      <c r="N222" s="1" t="s">
        <v>1781</v>
      </c>
      <c r="O222" s="1" t="s">
        <v>1782</v>
      </c>
      <c r="P222" s="1" t="s">
        <v>1783</v>
      </c>
      <c r="Q222" s="1" t="s">
        <v>1784</v>
      </c>
      <c r="R222" s="1"/>
      <c r="S222" s="7">
        <v>0.0</v>
      </c>
      <c r="T222" s="7">
        <v>0.0</v>
      </c>
      <c r="U222" s="1"/>
      <c r="V222" s="6" t="b">
        <v>1</v>
      </c>
    </row>
    <row r="223" ht="15.75" customHeight="1">
      <c r="A223" s="1" t="s">
        <v>1785</v>
      </c>
      <c r="B223" s="1" t="s">
        <v>1786</v>
      </c>
      <c r="C223" s="1" t="s">
        <v>1787</v>
      </c>
      <c r="D223" s="1" t="s">
        <v>1786</v>
      </c>
      <c r="E223" s="1" t="s">
        <v>1251</v>
      </c>
      <c r="F223" s="1" t="s">
        <v>1251</v>
      </c>
      <c r="G223" s="2" t="s">
        <v>27</v>
      </c>
      <c r="H223" s="2" t="str">
        <f>IFERROR(__xludf.DUMMYFUNCTION("""COMPUTED_VALUE"""),"Ubiquiti Networks")</f>
        <v>Ubiquiti Networks</v>
      </c>
      <c r="I223" s="2" t="s">
        <v>27</v>
      </c>
      <c r="J223" s="3">
        <v>7350.0</v>
      </c>
      <c r="K223" s="10" t="s">
        <v>1788</v>
      </c>
      <c r="L223" s="1"/>
      <c r="M223" s="1"/>
      <c r="N223" s="1" t="s">
        <v>1789</v>
      </c>
      <c r="O223" s="1" t="s">
        <v>1790</v>
      </c>
      <c r="P223" s="1" t="s">
        <v>1791</v>
      </c>
      <c r="Q223" s="1" t="s">
        <v>1792</v>
      </c>
      <c r="R223" s="1"/>
      <c r="S223" s="7">
        <v>0.0</v>
      </c>
      <c r="T223" s="7">
        <v>0.0</v>
      </c>
      <c r="U223" s="1"/>
      <c r="V223" s="6" t="b">
        <v>1</v>
      </c>
    </row>
    <row r="224" ht="15.75" customHeight="1">
      <c r="A224" s="1" t="s">
        <v>1793</v>
      </c>
      <c r="B224" s="1" t="s">
        <v>1794</v>
      </c>
      <c r="C224" s="1" t="s">
        <v>1795</v>
      </c>
      <c r="D224" s="1" t="s">
        <v>1794</v>
      </c>
      <c r="E224" s="1" t="s">
        <v>1251</v>
      </c>
      <c r="F224" s="1" t="s">
        <v>1251</v>
      </c>
      <c r="G224" s="2" t="s">
        <v>27</v>
      </c>
      <c r="H224" s="2" t="str">
        <f>IFERROR(__xludf.DUMMYFUNCTION("""COMPUTED_VALUE"""),"Ubiquiti Networks")</f>
        <v>Ubiquiti Networks</v>
      </c>
      <c r="I224" s="2" t="s">
        <v>27</v>
      </c>
      <c r="J224" s="3">
        <v>4100.0</v>
      </c>
      <c r="K224" s="10" t="s">
        <v>1796</v>
      </c>
      <c r="L224" s="1"/>
      <c r="M224" s="1"/>
      <c r="N224" s="1" t="s">
        <v>1797</v>
      </c>
      <c r="O224" s="1" t="s">
        <v>1798</v>
      </c>
      <c r="P224" s="1" t="s">
        <v>1799</v>
      </c>
      <c r="Q224" s="1" t="s">
        <v>1800</v>
      </c>
      <c r="R224" s="1"/>
      <c r="S224" s="7">
        <v>0.0</v>
      </c>
      <c r="T224" s="7">
        <v>0.0</v>
      </c>
      <c r="U224" s="1"/>
      <c r="V224" s="6" t="b">
        <v>1</v>
      </c>
    </row>
    <row r="225" ht="15.75" customHeight="1">
      <c r="A225" s="1" t="s">
        <v>1801</v>
      </c>
      <c r="B225" s="1" t="s">
        <v>1802</v>
      </c>
      <c r="C225" s="1" t="s">
        <v>1803</v>
      </c>
      <c r="D225" s="1" t="s">
        <v>1802</v>
      </c>
      <c r="E225" s="1" t="s">
        <v>1251</v>
      </c>
      <c r="F225" s="1" t="s">
        <v>1251</v>
      </c>
      <c r="G225" s="2" t="s">
        <v>27</v>
      </c>
      <c r="H225" s="2" t="str">
        <f>IFERROR(__xludf.DUMMYFUNCTION("""COMPUTED_VALUE"""),"Ubiquiti Networks")</f>
        <v>Ubiquiti Networks</v>
      </c>
      <c r="I225" s="2" t="s">
        <v>27</v>
      </c>
      <c r="J225" s="3">
        <v>7190.0</v>
      </c>
      <c r="K225" s="10" t="s">
        <v>1804</v>
      </c>
      <c r="L225" s="1"/>
      <c r="M225" s="1"/>
      <c r="N225" s="1" t="s">
        <v>1805</v>
      </c>
      <c r="O225" s="1" t="s">
        <v>1806</v>
      </c>
      <c r="P225" s="1" t="s">
        <v>1807</v>
      </c>
      <c r="Q225" s="1" t="s">
        <v>1808</v>
      </c>
      <c r="R225" s="1"/>
      <c r="S225" s="7">
        <v>0.0</v>
      </c>
      <c r="T225" s="7">
        <v>0.0</v>
      </c>
      <c r="U225" s="1"/>
      <c r="V225" s="6" t="b">
        <v>1</v>
      </c>
    </row>
    <row r="226" ht="15.75" customHeight="1">
      <c r="A226" s="1" t="s">
        <v>1809</v>
      </c>
      <c r="B226" s="1" t="s">
        <v>1810</v>
      </c>
      <c r="C226" s="1" t="s">
        <v>1811</v>
      </c>
      <c r="D226" s="1" t="s">
        <v>1810</v>
      </c>
      <c r="E226" s="1" t="s">
        <v>1251</v>
      </c>
      <c r="F226" s="1" t="s">
        <v>1251</v>
      </c>
      <c r="G226" s="2" t="s">
        <v>27</v>
      </c>
      <c r="H226" s="2" t="str">
        <f>IFERROR(__xludf.DUMMYFUNCTION("""COMPUTED_VALUE"""),"Ubiquiti Networks")</f>
        <v>Ubiquiti Networks</v>
      </c>
      <c r="I226" s="2" t="s">
        <v>27</v>
      </c>
      <c r="J226" s="3">
        <v>11500.0</v>
      </c>
      <c r="K226" s="10" t="s">
        <v>1812</v>
      </c>
      <c r="L226" s="1"/>
      <c r="M226" s="1"/>
      <c r="N226" s="1" t="s">
        <v>1813</v>
      </c>
      <c r="O226" s="1" t="s">
        <v>1814</v>
      </c>
      <c r="P226" s="1" t="s">
        <v>1815</v>
      </c>
      <c r="Q226" s="1" t="s">
        <v>1816</v>
      </c>
      <c r="R226" s="1"/>
      <c r="S226" s="7">
        <v>0.0</v>
      </c>
      <c r="T226" s="7">
        <v>0.0</v>
      </c>
      <c r="U226" s="1"/>
      <c r="V226" s="6" t="b">
        <v>1</v>
      </c>
    </row>
    <row r="227" ht="15.75" customHeight="1">
      <c r="A227" s="1" t="s">
        <v>1817</v>
      </c>
      <c r="B227" s="1" t="s">
        <v>1818</v>
      </c>
      <c r="C227" s="1" t="s">
        <v>1819</v>
      </c>
      <c r="D227" s="1" t="s">
        <v>1818</v>
      </c>
      <c r="E227" s="1" t="s">
        <v>1251</v>
      </c>
      <c r="F227" s="1" t="s">
        <v>1251</v>
      </c>
      <c r="G227" s="2" t="s">
        <v>27</v>
      </c>
      <c r="H227" s="2" t="str">
        <f>IFERROR(__xludf.DUMMYFUNCTION("""COMPUTED_VALUE"""),"Ubiquiti Networks")</f>
        <v>Ubiquiti Networks</v>
      </c>
      <c r="I227" s="2" t="s">
        <v>27</v>
      </c>
      <c r="J227" s="3">
        <v>7950.0</v>
      </c>
      <c r="K227" s="10" t="s">
        <v>1820</v>
      </c>
      <c r="L227" s="1"/>
      <c r="M227" s="1"/>
      <c r="N227" s="1" t="s">
        <v>1821</v>
      </c>
      <c r="O227" s="1" t="s">
        <v>1822</v>
      </c>
      <c r="P227" s="1" t="s">
        <v>1823</v>
      </c>
      <c r="Q227" s="1" t="s">
        <v>1824</v>
      </c>
      <c r="R227" s="1"/>
      <c r="S227" s="7">
        <v>0.0</v>
      </c>
      <c r="T227" s="7">
        <v>0.0</v>
      </c>
      <c r="U227" s="1"/>
      <c r="V227" s="6" t="b">
        <v>1</v>
      </c>
    </row>
    <row r="228" ht="15.75" customHeight="1">
      <c r="A228" s="1" t="s">
        <v>1825</v>
      </c>
      <c r="B228" s="1" t="s">
        <v>1826</v>
      </c>
      <c r="C228" s="1" t="s">
        <v>1827</v>
      </c>
      <c r="D228" s="1" t="s">
        <v>1826</v>
      </c>
      <c r="E228" s="1" t="s">
        <v>1251</v>
      </c>
      <c r="F228" s="1" t="s">
        <v>1251</v>
      </c>
      <c r="G228" s="2" t="s">
        <v>27</v>
      </c>
      <c r="H228" s="2" t="str">
        <f>IFERROR(__xludf.DUMMYFUNCTION("""COMPUTED_VALUE"""),"Ubiquiti Networks")</f>
        <v>Ubiquiti Networks</v>
      </c>
      <c r="I228" s="2" t="s">
        <v>27</v>
      </c>
      <c r="J228" s="3">
        <v>6439.0</v>
      </c>
      <c r="K228" s="10" t="s">
        <v>1828</v>
      </c>
      <c r="L228" s="1"/>
      <c r="M228" s="1"/>
      <c r="N228" s="1" t="s">
        <v>1829</v>
      </c>
      <c r="O228" s="1" t="s">
        <v>1830</v>
      </c>
      <c r="P228" s="1" t="s">
        <v>1831</v>
      </c>
      <c r="Q228" s="1" t="s">
        <v>1832</v>
      </c>
      <c r="R228" s="1"/>
      <c r="S228" s="7">
        <v>0.0</v>
      </c>
      <c r="T228" s="7">
        <v>0.0</v>
      </c>
      <c r="U228" s="1"/>
      <c r="V228" s="6" t="b">
        <v>1</v>
      </c>
    </row>
    <row r="229" ht="15.75" customHeight="1">
      <c r="B229" s="2"/>
      <c r="C229" s="2"/>
      <c r="D229" s="1"/>
      <c r="E229" s="1"/>
      <c r="F229" s="2"/>
      <c r="G229" s="2"/>
      <c r="H229" s="2" t="str">
        <f>IFERROR(__xludf.DUMMYFUNCTION("""COMPUTED_VALUE"""),"")</f>
        <v/>
      </c>
      <c r="I229" s="1" t="s">
        <v>170</v>
      </c>
      <c r="J229" s="1"/>
      <c r="K229" s="3"/>
      <c r="L229" s="4"/>
      <c r="M229" s="4"/>
      <c r="N229" s="4"/>
      <c r="O229" s="1"/>
      <c r="P229" s="5"/>
      <c r="Q229" s="5"/>
      <c r="R229" s="1"/>
      <c r="S229" s="1"/>
      <c r="T229" s="7"/>
      <c r="U229" s="7"/>
      <c r="V229" s="1"/>
      <c r="W229" s="6"/>
      <c r="X229" s="1"/>
    </row>
    <row r="230" ht="15.75" customHeight="1">
      <c r="A230" s="19" t="s">
        <v>1833</v>
      </c>
      <c r="B230" s="2" t="s">
        <v>1833</v>
      </c>
      <c r="C230" s="1" t="s">
        <v>1092</v>
      </c>
      <c r="D230" s="2" t="s">
        <v>1833</v>
      </c>
      <c r="E230" s="2" t="s">
        <v>1834</v>
      </c>
      <c r="F230" s="2" t="s">
        <v>1834</v>
      </c>
      <c r="G230" s="2" t="s">
        <v>1835</v>
      </c>
      <c r="H230" s="1" t="str">
        <f>IFERROR(__xludf.DUMMYFUNCTION("""COMPUTED_VALUE"""),"DrayTek")</f>
        <v>DrayTek</v>
      </c>
      <c r="I230" s="1" t="s">
        <v>1835</v>
      </c>
      <c r="J230" s="3">
        <v>4390.0</v>
      </c>
      <c r="K230" s="4" t="s">
        <v>1093</v>
      </c>
      <c r="L230" s="4" t="s">
        <v>1094</v>
      </c>
      <c r="M230" s="4" t="s">
        <v>1095</v>
      </c>
      <c r="N230" s="1" t="s">
        <v>1092</v>
      </c>
      <c r="O230" s="5" t="s">
        <v>1096</v>
      </c>
      <c r="P230" s="5" t="s">
        <v>1097</v>
      </c>
      <c r="Q230" s="1" t="s">
        <v>1098</v>
      </c>
      <c r="R230" s="1"/>
      <c r="S230" s="7">
        <v>0.0</v>
      </c>
      <c r="T230" s="7">
        <v>0.0</v>
      </c>
      <c r="U230" s="1"/>
      <c r="V230" s="6" t="b">
        <v>1</v>
      </c>
      <c r="W230" s="1"/>
    </row>
    <row r="231" ht="15.75" customHeight="1">
      <c r="A231" s="19" t="s">
        <v>1836</v>
      </c>
      <c r="B231" s="2" t="s">
        <v>1836</v>
      </c>
      <c r="C231" s="1" t="s">
        <v>1092</v>
      </c>
      <c r="D231" s="2" t="s">
        <v>1836</v>
      </c>
      <c r="E231" s="2" t="s">
        <v>1834</v>
      </c>
      <c r="F231" s="2" t="s">
        <v>1834</v>
      </c>
      <c r="G231" s="2" t="s">
        <v>1837</v>
      </c>
      <c r="H231" s="1" t="str">
        <f>IFERROR(__xludf.DUMMYFUNCTION("""COMPUTED_VALUE"""),"DrayTek")</f>
        <v>DrayTek</v>
      </c>
      <c r="I231" s="1" t="s">
        <v>1837</v>
      </c>
      <c r="J231" s="3">
        <v>4390.0</v>
      </c>
      <c r="K231" s="4" t="s">
        <v>1093</v>
      </c>
      <c r="L231" s="4" t="s">
        <v>1094</v>
      </c>
      <c r="M231" s="4" t="s">
        <v>1095</v>
      </c>
      <c r="N231" s="1" t="s">
        <v>1092</v>
      </c>
      <c r="O231" s="5" t="s">
        <v>1096</v>
      </c>
      <c r="P231" s="5" t="s">
        <v>1097</v>
      </c>
      <c r="Q231" s="1" t="s">
        <v>1098</v>
      </c>
      <c r="R231" s="1"/>
      <c r="S231" s="7">
        <v>0.0</v>
      </c>
      <c r="T231" s="7">
        <v>0.0</v>
      </c>
      <c r="U231" s="1"/>
      <c r="V231" s="6" t="b">
        <v>1</v>
      </c>
      <c r="W231" s="1"/>
    </row>
    <row r="232" ht="15.75" customHeight="1">
      <c r="A232" s="19" t="s">
        <v>1838</v>
      </c>
      <c r="B232" s="2" t="s">
        <v>1838</v>
      </c>
      <c r="C232" s="1" t="s">
        <v>1092</v>
      </c>
      <c r="D232" s="2" t="s">
        <v>1838</v>
      </c>
      <c r="E232" s="2" t="s">
        <v>1834</v>
      </c>
      <c r="F232" s="2" t="s">
        <v>1834</v>
      </c>
      <c r="G232" s="2" t="s">
        <v>1839</v>
      </c>
      <c r="H232" s="1" t="str">
        <f>IFERROR(__xludf.DUMMYFUNCTION("""COMPUTED_VALUE"""),"DrayTek")</f>
        <v>DrayTek</v>
      </c>
      <c r="I232" s="1" t="s">
        <v>1839</v>
      </c>
      <c r="J232" s="3">
        <v>4390.0</v>
      </c>
      <c r="K232" s="4" t="s">
        <v>1093</v>
      </c>
      <c r="L232" s="4" t="s">
        <v>1094</v>
      </c>
      <c r="M232" s="4" t="s">
        <v>1095</v>
      </c>
      <c r="N232" s="1" t="s">
        <v>1092</v>
      </c>
      <c r="O232" s="5" t="s">
        <v>1096</v>
      </c>
      <c r="P232" s="5" t="s">
        <v>1097</v>
      </c>
      <c r="Q232" s="1" t="s">
        <v>1098</v>
      </c>
      <c r="R232" s="1"/>
      <c r="S232" s="7">
        <v>0.0</v>
      </c>
      <c r="T232" s="7">
        <v>0.0</v>
      </c>
      <c r="U232" s="1"/>
      <c r="V232" s="6" t="b">
        <v>1</v>
      </c>
      <c r="W232" s="1"/>
    </row>
    <row r="233" ht="15.75" customHeight="1">
      <c r="A233" s="19" t="s">
        <v>1840</v>
      </c>
      <c r="B233" s="2" t="s">
        <v>1840</v>
      </c>
      <c r="C233" s="1" t="s">
        <v>1092</v>
      </c>
      <c r="D233" s="2" t="s">
        <v>1840</v>
      </c>
      <c r="E233" s="2" t="s">
        <v>1834</v>
      </c>
      <c r="F233" s="2" t="s">
        <v>1834</v>
      </c>
      <c r="G233" s="2" t="s">
        <v>1841</v>
      </c>
      <c r="H233" s="1" t="str">
        <f>IFERROR(__xludf.DUMMYFUNCTION("""COMPUTED_VALUE"""),"DrayTek")</f>
        <v>DrayTek</v>
      </c>
      <c r="I233" s="1" t="s">
        <v>1841</v>
      </c>
      <c r="J233" s="3">
        <v>4390.0</v>
      </c>
      <c r="K233" s="4" t="s">
        <v>1093</v>
      </c>
      <c r="L233" s="4" t="s">
        <v>1094</v>
      </c>
      <c r="M233" s="4" t="s">
        <v>1095</v>
      </c>
      <c r="N233" s="1" t="s">
        <v>1092</v>
      </c>
      <c r="O233" s="5" t="s">
        <v>1096</v>
      </c>
      <c r="P233" s="5" t="s">
        <v>1097</v>
      </c>
      <c r="Q233" s="1" t="s">
        <v>1098</v>
      </c>
      <c r="R233" s="1"/>
      <c r="S233" s="7">
        <v>0.0</v>
      </c>
      <c r="T233" s="7">
        <v>0.0</v>
      </c>
      <c r="U233" s="1"/>
      <c r="V233" s="6" t="b">
        <v>1</v>
      </c>
      <c r="W233" s="1"/>
    </row>
    <row r="234" ht="15.75" customHeight="1">
      <c r="H234" s="20" t="str">
        <f>IFERROR(__xludf.DUMMYFUNCTION("""COMPUTED_VALUE"""),"")</f>
        <v/>
      </c>
      <c r="I234" s="20" t="s">
        <v>170</v>
      </c>
    </row>
    <row r="235" ht="15.75" customHeight="1">
      <c r="H235" s="20" t="str">
        <f>IFERROR(__xludf.DUMMYFUNCTION("""COMPUTED_VALUE"""),"")</f>
        <v/>
      </c>
      <c r="I235" s="20" t="s">
        <v>170</v>
      </c>
    </row>
    <row r="236" ht="15.75" customHeight="1">
      <c r="A236" s="19" t="s">
        <v>1842</v>
      </c>
      <c r="B236" s="2" t="s">
        <v>1842</v>
      </c>
      <c r="C236" s="1" t="s">
        <v>1092</v>
      </c>
      <c r="D236" s="2" t="s">
        <v>1840</v>
      </c>
      <c r="E236" s="2"/>
      <c r="F236" s="2"/>
      <c r="G236" s="2"/>
      <c r="H236" s="1"/>
      <c r="I236" s="1"/>
      <c r="J236" s="3">
        <v>4390.0</v>
      </c>
      <c r="K236" s="4" t="s">
        <v>1093</v>
      </c>
      <c r="L236" s="4" t="s">
        <v>1094</v>
      </c>
      <c r="M236" s="4" t="s">
        <v>1095</v>
      </c>
      <c r="N236" s="1" t="s">
        <v>1092</v>
      </c>
      <c r="O236" s="5" t="s">
        <v>1096</v>
      </c>
      <c r="P236" s="5" t="s">
        <v>1097</v>
      </c>
      <c r="Q236" s="1" t="s">
        <v>1098</v>
      </c>
      <c r="R236" s="1"/>
      <c r="S236" s="7">
        <v>0.0</v>
      </c>
      <c r="T236" s="7">
        <v>0.0</v>
      </c>
      <c r="U236" s="1"/>
      <c r="V236" s="6" t="b">
        <v>1</v>
      </c>
      <c r="W236" s="1"/>
    </row>
    <row r="237" ht="15.75" customHeight="1">
      <c r="H237" s="20" t="str">
        <f>IFERROR(__xludf.DUMMYFUNCTION("""COMPUTED_VALUE"""),"")</f>
        <v/>
      </c>
      <c r="I237" s="20" t="s">
        <v>170</v>
      </c>
    </row>
    <row r="238" ht="15.75" customHeight="1">
      <c r="H238" s="20" t="str">
        <f>IFERROR(__xludf.DUMMYFUNCTION("""COMPUTED_VALUE"""),"")</f>
        <v/>
      </c>
      <c r="I238" s="20" t="s">
        <v>170</v>
      </c>
    </row>
    <row r="239" ht="15.75" customHeight="1">
      <c r="H239" s="20" t="str">
        <f>IFERROR(__xludf.DUMMYFUNCTION("""COMPUTED_VALUE"""),"")</f>
        <v/>
      </c>
      <c r="I239" s="20" t="s">
        <v>170</v>
      </c>
    </row>
    <row r="240" ht="15.75" customHeight="1">
      <c r="H240" s="20" t="str">
        <f>IFERROR(__xludf.DUMMYFUNCTION("""COMPUTED_VALUE"""),"")</f>
        <v/>
      </c>
      <c r="I240" s="20" t="s">
        <v>170</v>
      </c>
    </row>
    <row r="241" ht="15.75" customHeight="1">
      <c r="H241" s="20" t="str">
        <f>IFERROR(__xludf.DUMMYFUNCTION("""COMPUTED_VALUE"""),"")</f>
        <v/>
      </c>
      <c r="I241" s="20" t="s">
        <v>170</v>
      </c>
    </row>
    <row r="242" ht="15.75" customHeight="1">
      <c r="H242" s="20" t="str">
        <f>IFERROR(__xludf.DUMMYFUNCTION("""COMPUTED_VALUE"""),"")</f>
        <v/>
      </c>
      <c r="I242" s="20" t="s">
        <v>170</v>
      </c>
    </row>
    <row r="243" ht="15.75" customHeight="1">
      <c r="H243" s="20" t="str">
        <f>IFERROR(__xludf.DUMMYFUNCTION("""COMPUTED_VALUE"""),"")</f>
        <v/>
      </c>
      <c r="I243" s="20" t="s">
        <v>170</v>
      </c>
    </row>
    <row r="244" ht="15.75" customHeight="1">
      <c r="H244" s="20" t="str">
        <f>IFERROR(__xludf.DUMMYFUNCTION("""COMPUTED_VALUE"""),"")</f>
        <v/>
      </c>
      <c r="I244" s="20" t="s">
        <v>170</v>
      </c>
    </row>
    <row r="245" ht="15.75" customHeight="1">
      <c r="H245" s="20" t="str">
        <f>IFERROR(__xludf.DUMMYFUNCTION("""COMPUTED_VALUE"""),"")</f>
        <v/>
      </c>
      <c r="I245" s="20" t="s">
        <v>170</v>
      </c>
    </row>
    <row r="246" ht="15.75" customHeight="1">
      <c r="H246" s="20" t="str">
        <f>IFERROR(__xludf.DUMMYFUNCTION("""COMPUTED_VALUE"""),"")</f>
        <v/>
      </c>
      <c r="I246" s="20" t="s">
        <v>170</v>
      </c>
    </row>
    <row r="247" ht="15.75" customHeight="1">
      <c r="H247" s="20" t="str">
        <f>IFERROR(__xludf.DUMMYFUNCTION("""COMPUTED_VALUE"""),"")</f>
        <v/>
      </c>
      <c r="I247" s="20" t="s">
        <v>170</v>
      </c>
    </row>
    <row r="248" ht="15.75" customHeight="1">
      <c r="H248" s="20" t="str">
        <f>IFERROR(__xludf.DUMMYFUNCTION("""COMPUTED_VALUE"""),"")</f>
        <v/>
      </c>
      <c r="I248" s="20" t="s">
        <v>170</v>
      </c>
    </row>
    <row r="249" ht="15.75" customHeight="1">
      <c r="H249" s="20" t="str">
        <f>IFERROR(__xludf.DUMMYFUNCTION("""COMPUTED_VALUE"""),"")</f>
        <v/>
      </c>
      <c r="I249" s="20" t="s">
        <v>170</v>
      </c>
    </row>
    <row r="250" ht="15.75" customHeight="1">
      <c r="H250" s="20" t="str">
        <f>IFERROR(__xludf.DUMMYFUNCTION("""COMPUTED_VALUE"""),"")</f>
        <v/>
      </c>
      <c r="I250" s="20" t="s">
        <v>170</v>
      </c>
    </row>
    <row r="251" ht="15.75" customHeight="1">
      <c r="H251" s="20" t="str">
        <f>IFERROR(__xludf.DUMMYFUNCTION("""COMPUTED_VALUE"""),"")</f>
        <v/>
      </c>
      <c r="I251" s="20" t="s">
        <v>170</v>
      </c>
    </row>
    <row r="252" ht="15.75" customHeight="1">
      <c r="H252" s="20" t="str">
        <f>IFERROR(__xludf.DUMMYFUNCTION("""COMPUTED_VALUE"""),"")</f>
        <v/>
      </c>
      <c r="I252" s="20" t="s">
        <v>170</v>
      </c>
    </row>
    <row r="253" ht="15.75" customHeight="1">
      <c r="H253" s="20" t="str">
        <f>IFERROR(__xludf.DUMMYFUNCTION("""COMPUTED_VALUE"""),"")</f>
        <v/>
      </c>
      <c r="I253" s="20" t="s">
        <v>170</v>
      </c>
    </row>
    <row r="254" ht="15.75" customHeight="1">
      <c r="H254" s="20" t="str">
        <f>IFERROR(__xludf.DUMMYFUNCTION("""COMPUTED_VALUE"""),"")</f>
        <v/>
      </c>
      <c r="I254" s="20" t="s">
        <v>170</v>
      </c>
    </row>
    <row r="255" ht="15.75" customHeight="1">
      <c r="H255" s="20" t="str">
        <f>IFERROR(__xludf.DUMMYFUNCTION("""COMPUTED_VALUE"""),"")</f>
        <v/>
      </c>
      <c r="I255" s="20" t="s">
        <v>170</v>
      </c>
    </row>
    <row r="256" ht="15.75" customHeight="1">
      <c r="H256" s="20" t="str">
        <f>IFERROR(__xludf.DUMMYFUNCTION("""COMPUTED_VALUE"""),"")</f>
        <v/>
      </c>
      <c r="I256" s="20" t="s">
        <v>170</v>
      </c>
    </row>
    <row r="257" ht="15.75" customHeight="1">
      <c r="H257" s="20" t="str">
        <f>IFERROR(__xludf.DUMMYFUNCTION("""COMPUTED_VALUE"""),"")</f>
        <v/>
      </c>
      <c r="I257" s="20" t="s">
        <v>170</v>
      </c>
    </row>
    <row r="258" ht="15.75" customHeight="1">
      <c r="H258" s="20" t="str">
        <f>IFERROR(__xludf.DUMMYFUNCTION("""COMPUTED_VALUE"""),"")</f>
        <v/>
      </c>
      <c r="I258" s="20" t="s">
        <v>170</v>
      </c>
    </row>
    <row r="259" ht="15.75" customHeight="1">
      <c r="H259" s="20" t="str">
        <f>IFERROR(__xludf.DUMMYFUNCTION("""COMPUTED_VALUE"""),"")</f>
        <v/>
      </c>
      <c r="I259" s="20" t="s">
        <v>170</v>
      </c>
    </row>
    <row r="260" ht="15.75" customHeight="1">
      <c r="H260" s="20" t="str">
        <f>IFERROR(__xludf.DUMMYFUNCTION("""COMPUTED_VALUE"""),"")</f>
        <v/>
      </c>
      <c r="I260" s="20" t="s">
        <v>170</v>
      </c>
    </row>
    <row r="261" ht="15.75" customHeight="1">
      <c r="H261" s="20" t="str">
        <f>IFERROR(__xludf.DUMMYFUNCTION("""COMPUTED_VALUE"""),"")</f>
        <v/>
      </c>
      <c r="I261" s="20" t="s">
        <v>170</v>
      </c>
    </row>
    <row r="262" ht="15.75" customHeight="1">
      <c r="H262" s="20" t="str">
        <f>IFERROR(__xludf.DUMMYFUNCTION("""COMPUTED_VALUE"""),"")</f>
        <v/>
      </c>
      <c r="I262" s="20" t="s">
        <v>170</v>
      </c>
    </row>
    <row r="263" ht="15.75" customHeight="1">
      <c r="H263" s="20" t="str">
        <f>IFERROR(__xludf.DUMMYFUNCTION("""COMPUTED_VALUE"""),"")</f>
        <v/>
      </c>
      <c r="I263" s="20" t="s">
        <v>170</v>
      </c>
    </row>
    <row r="264" ht="15.75" customHeight="1">
      <c r="H264" s="20" t="str">
        <f>IFERROR(__xludf.DUMMYFUNCTION("""COMPUTED_VALUE"""),"")</f>
        <v/>
      </c>
      <c r="I264" s="20" t="s">
        <v>170</v>
      </c>
    </row>
    <row r="265" ht="15.75" customHeight="1">
      <c r="H265" s="20" t="str">
        <f>IFERROR(__xludf.DUMMYFUNCTION("""COMPUTED_VALUE"""),"")</f>
        <v/>
      </c>
      <c r="I265" s="20" t="s">
        <v>170</v>
      </c>
    </row>
    <row r="266" ht="15.75" customHeight="1">
      <c r="H266" s="20" t="str">
        <f>IFERROR(__xludf.DUMMYFUNCTION("""COMPUTED_VALUE"""),"")</f>
        <v/>
      </c>
      <c r="I266" s="20" t="s">
        <v>170</v>
      </c>
    </row>
    <row r="267" ht="15.75" customHeight="1">
      <c r="H267" s="20" t="str">
        <f>IFERROR(__xludf.DUMMYFUNCTION("""COMPUTED_VALUE"""),"")</f>
        <v/>
      </c>
      <c r="I267" s="20" t="s">
        <v>170</v>
      </c>
    </row>
    <row r="268" ht="15.75" customHeight="1">
      <c r="H268" s="20" t="str">
        <f>IFERROR(__xludf.DUMMYFUNCTION("""COMPUTED_VALUE"""),"")</f>
        <v/>
      </c>
      <c r="I268" s="20" t="s">
        <v>170</v>
      </c>
    </row>
    <row r="269" ht="15.75" customHeight="1">
      <c r="H269" s="20" t="str">
        <f>IFERROR(__xludf.DUMMYFUNCTION("""COMPUTED_VALUE"""),"")</f>
        <v/>
      </c>
      <c r="I269" s="20" t="s">
        <v>170</v>
      </c>
    </row>
    <row r="270" ht="15.75" customHeight="1">
      <c r="H270" s="20" t="str">
        <f>IFERROR(__xludf.DUMMYFUNCTION("""COMPUTED_VALUE"""),"")</f>
        <v/>
      </c>
      <c r="I270" s="20" t="s">
        <v>170</v>
      </c>
    </row>
    <row r="271" ht="15.75" customHeight="1">
      <c r="H271" s="20" t="str">
        <f>IFERROR(__xludf.DUMMYFUNCTION("""COMPUTED_VALUE"""),"")</f>
        <v/>
      </c>
      <c r="I271" s="20" t="s">
        <v>170</v>
      </c>
    </row>
    <row r="272" ht="15.75" customHeight="1">
      <c r="H272" s="20" t="str">
        <f>IFERROR(__xludf.DUMMYFUNCTION("""COMPUTED_VALUE"""),"")</f>
        <v/>
      </c>
      <c r="I272" s="20" t="s">
        <v>170</v>
      </c>
    </row>
    <row r="273" ht="15.75" customHeight="1">
      <c r="H273" s="20" t="str">
        <f>IFERROR(__xludf.DUMMYFUNCTION("""COMPUTED_VALUE"""),"")</f>
        <v/>
      </c>
      <c r="I273" s="20" t="s">
        <v>170</v>
      </c>
    </row>
    <row r="274" ht="15.75" customHeight="1">
      <c r="H274" s="20" t="str">
        <f>IFERROR(__xludf.DUMMYFUNCTION("""COMPUTED_VALUE"""),"")</f>
        <v/>
      </c>
      <c r="I274" s="20" t="s">
        <v>170</v>
      </c>
    </row>
    <row r="275" ht="15.75" customHeight="1">
      <c r="H275" s="20" t="str">
        <f>IFERROR(__xludf.DUMMYFUNCTION("""COMPUTED_VALUE"""),"")</f>
        <v/>
      </c>
      <c r="I275" s="20" t="s">
        <v>170</v>
      </c>
    </row>
    <row r="276" ht="15.75" customHeight="1">
      <c r="H276" s="20" t="str">
        <f>IFERROR(__xludf.DUMMYFUNCTION("""COMPUTED_VALUE"""),"")</f>
        <v/>
      </c>
      <c r="I276" s="20" t="s">
        <v>170</v>
      </c>
    </row>
    <row r="277" ht="15.75" customHeight="1">
      <c r="H277" s="20" t="str">
        <f>IFERROR(__xludf.DUMMYFUNCTION("""COMPUTED_VALUE"""),"")</f>
        <v/>
      </c>
      <c r="I277" s="20" t="s">
        <v>170</v>
      </c>
    </row>
    <row r="278" ht="15.75" customHeight="1">
      <c r="H278" s="20" t="str">
        <f>IFERROR(__xludf.DUMMYFUNCTION("""COMPUTED_VALUE"""),"")</f>
        <v/>
      </c>
      <c r="I278" s="20" t="s">
        <v>170</v>
      </c>
    </row>
    <row r="279" ht="15.75" customHeight="1">
      <c r="H279" s="20" t="str">
        <f>IFERROR(__xludf.DUMMYFUNCTION("""COMPUTED_VALUE"""),"")</f>
        <v/>
      </c>
      <c r="I279" s="20" t="s">
        <v>170</v>
      </c>
    </row>
    <row r="280" ht="15.75" customHeight="1">
      <c r="H280" s="20" t="str">
        <f>IFERROR(__xludf.DUMMYFUNCTION("""COMPUTED_VALUE"""),"")</f>
        <v/>
      </c>
      <c r="I280" s="20" t="s">
        <v>170</v>
      </c>
    </row>
    <row r="281" ht="15.75" customHeight="1">
      <c r="H281" s="20" t="str">
        <f>IFERROR(__xludf.DUMMYFUNCTION("""COMPUTED_VALUE"""),"")</f>
        <v/>
      </c>
      <c r="I281" s="20" t="s">
        <v>170</v>
      </c>
    </row>
    <row r="282" ht="15.75" customHeight="1">
      <c r="H282" s="20" t="str">
        <f>IFERROR(__xludf.DUMMYFUNCTION("""COMPUTED_VALUE"""),"")</f>
        <v/>
      </c>
      <c r="I282" s="20" t="s">
        <v>170</v>
      </c>
    </row>
    <row r="283" ht="15.75" customHeight="1">
      <c r="H283" s="20" t="str">
        <f>IFERROR(__xludf.DUMMYFUNCTION("""COMPUTED_VALUE"""),"")</f>
        <v/>
      </c>
      <c r="I283" s="20" t="s">
        <v>170</v>
      </c>
    </row>
    <row r="284" ht="15.75" customHeight="1">
      <c r="H284" s="20" t="str">
        <f>IFERROR(__xludf.DUMMYFUNCTION("""COMPUTED_VALUE"""),"")</f>
        <v/>
      </c>
      <c r="I284" s="20" t="s">
        <v>170</v>
      </c>
    </row>
    <row r="285" ht="15.75" customHeight="1">
      <c r="H285" s="20" t="str">
        <f>IFERROR(__xludf.DUMMYFUNCTION("""COMPUTED_VALUE"""),"")</f>
        <v/>
      </c>
      <c r="I285" s="20" t="s">
        <v>170</v>
      </c>
    </row>
    <row r="286" ht="15.75" customHeight="1">
      <c r="H286" s="20" t="str">
        <f>IFERROR(__xludf.DUMMYFUNCTION("""COMPUTED_VALUE"""),"")</f>
        <v/>
      </c>
      <c r="I286" s="20" t="s">
        <v>170</v>
      </c>
    </row>
    <row r="287" ht="15.75" customHeight="1">
      <c r="H287" s="20" t="str">
        <f>IFERROR(__xludf.DUMMYFUNCTION("""COMPUTED_VALUE"""),"")</f>
        <v/>
      </c>
      <c r="I287" s="20" t="s">
        <v>170</v>
      </c>
    </row>
    <row r="288" ht="15.75" customHeight="1">
      <c r="H288" s="20" t="str">
        <f>IFERROR(__xludf.DUMMYFUNCTION("""COMPUTED_VALUE"""),"")</f>
        <v/>
      </c>
      <c r="I288" s="20" t="s">
        <v>170</v>
      </c>
    </row>
    <row r="289" ht="15.75" customHeight="1">
      <c r="H289" s="20" t="str">
        <f>IFERROR(__xludf.DUMMYFUNCTION("""COMPUTED_VALUE"""),"")</f>
        <v/>
      </c>
      <c r="I289" s="20" t="s">
        <v>170</v>
      </c>
    </row>
    <row r="290" ht="15.75" customHeight="1">
      <c r="H290" s="20" t="str">
        <f>IFERROR(__xludf.DUMMYFUNCTION("""COMPUTED_VALUE"""),"")</f>
        <v/>
      </c>
      <c r="I290" s="20" t="s">
        <v>170</v>
      </c>
    </row>
    <row r="291" ht="15.75" customHeight="1">
      <c r="H291" s="20" t="str">
        <f>IFERROR(__xludf.DUMMYFUNCTION("""COMPUTED_VALUE"""),"")</f>
        <v/>
      </c>
      <c r="I291" s="20" t="s">
        <v>170</v>
      </c>
    </row>
    <row r="292" ht="15.75" customHeight="1">
      <c r="H292" s="20" t="str">
        <f>IFERROR(__xludf.DUMMYFUNCTION("""COMPUTED_VALUE"""),"")</f>
        <v/>
      </c>
      <c r="I292" s="20" t="s">
        <v>170</v>
      </c>
    </row>
    <row r="293" ht="15.75" customHeight="1">
      <c r="H293" s="20" t="str">
        <f>IFERROR(__xludf.DUMMYFUNCTION("""COMPUTED_VALUE"""),"")</f>
        <v/>
      </c>
      <c r="I293" s="20" t="s">
        <v>170</v>
      </c>
    </row>
    <row r="294" ht="15.75" customHeight="1">
      <c r="H294" s="20" t="str">
        <f>IFERROR(__xludf.DUMMYFUNCTION("""COMPUTED_VALUE"""),"")</f>
        <v/>
      </c>
      <c r="I294" s="20" t="s">
        <v>170</v>
      </c>
    </row>
    <row r="295" ht="15.75" customHeight="1">
      <c r="H295" s="20" t="str">
        <f>IFERROR(__xludf.DUMMYFUNCTION("""COMPUTED_VALUE"""),"")</f>
        <v/>
      </c>
      <c r="I295" s="20" t="s">
        <v>170</v>
      </c>
    </row>
    <row r="296" ht="15.75" customHeight="1">
      <c r="H296" s="20" t="str">
        <f>IFERROR(__xludf.DUMMYFUNCTION("""COMPUTED_VALUE"""),"")</f>
        <v/>
      </c>
      <c r="I296" s="20" t="s">
        <v>170</v>
      </c>
    </row>
    <row r="297" ht="15.75" customHeight="1">
      <c r="H297" s="20" t="str">
        <f>IFERROR(__xludf.DUMMYFUNCTION("""COMPUTED_VALUE"""),"")</f>
        <v/>
      </c>
      <c r="I297" s="20" t="s">
        <v>170</v>
      </c>
    </row>
    <row r="298" ht="15.75" customHeight="1">
      <c r="H298" s="20" t="str">
        <f>IFERROR(__xludf.DUMMYFUNCTION("""COMPUTED_VALUE"""),"")</f>
        <v/>
      </c>
      <c r="I298" s="20" t="s">
        <v>170</v>
      </c>
    </row>
    <row r="299" ht="15.75" customHeight="1">
      <c r="H299" s="20" t="str">
        <f>IFERROR(__xludf.DUMMYFUNCTION("""COMPUTED_VALUE"""),"")</f>
        <v/>
      </c>
      <c r="I299" s="20" t="s">
        <v>170</v>
      </c>
    </row>
    <row r="300" ht="15.75" customHeight="1">
      <c r="H300" s="20" t="str">
        <f>IFERROR(__xludf.DUMMYFUNCTION("""COMPUTED_VALUE"""),"")</f>
        <v/>
      </c>
      <c r="I300" s="20" t="s">
        <v>170</v>
      </c>
    </row>
    <row r="301" ht="15.75" customHeight="1">
      <c r="H301" s="20" t="str">
        <f>IFERROR(__xludf.DUMMYFUNCTION("""COMPUTED_VALUE"""),"")</f>
        <v/>
      </c>
      <c r="I301" s="20" t="s">
        <v>170</v>
      </c>
    </row>
    <row r="302" ht="15.75" customHeight="1">
      <c r="H302" s="20" t="str">
        <f>IFERROR(__xludf.DUMMYFUNCTION("""COMPUTED_VALUE"""),"")</f>
        <v/>
      </c>
      <c r="I302" s="20" t="s">
        <v>170</v>
      </c>
    </row>
    <row r="303" ht="15.75" customHeight="1">
      <c r="H303" s="20" t="str">
        <f>IFERROR(__xludf.DUMMYFUNCTION("""COMPUTED_VALUE"""),"")</f>
        <v/>
      </c>
      <c r="I303" s="20" t="s">
        <v>170</v>
      </c>
    </row>
    <row r="304" ht="15.75" customHeight="1">
      <c r="H304" s="20" t="str">
        <f>IFERROR(__xludf.DUMMYFUNCTION("""COMPUTED_VALUE"""),"")</f>
        <v/>
      </c>
      <c r="I304" s="20" t="s">
        <v>170</v>
      </c>
    </row>
    <row r="305" ht="15.75" customHeight="1">
      <c r="H305" s="20" t="str">
        <f>IFERROR(__xludf.DUMMYFUNCTION("""COMPUTED_VALUE"""),"")</f>
        <v/>
      </c>
      <c r="I305" s="20" t="s">
        <v>170</v>
      </c>
    </row>
    <row r="306" ht="15.75" customHeight="1">
      <c r="H306" s="20" t="str">
        <f>IFERROR(__xludf.DUMMYFUNCTION("""COMPUTED_VALUE"""),"")</f>
        <v/>
      </c>
      <c r="I306" s="20" t="s">
        <v>170</v>
      </c>
    </row>
    <row r="307" ht="15.75" customHeight="1">
      <c r="H307" s="20" t="str">
        <f>IFERROR(__xludf.DUMMYFUNCTION("""COMPUTED_VALUE"""),"")</f>
        <v/>
      </c>
      <c r="I307" s="20" t="s">
        <v>170</v>
      </c>
    </row>
    <row r="308" ht="15.75" customHeight="1">
      <c r="H308" s="20" t="str">
        <f>IFERROR(__xludf.DUMMYFUNCTION("""COMPUTED_VALUE"""),"")</f>
        <v/>
      </c>
      <c r="I308" s="20" t="s">
        <v>170</v>
      </c>
    </row>
    <row r="309" ht="15.75" customHeight="1">
      <c r="H309" s="20" t="str">
        <f>IFERROR(__xludf.DUMMYFUNCTION("""COMPUTED_VALUE"""),"")</f>
        <v/>
      </c>
      <c r="I309" s="20" t="s">
        <v>170</v>
      </c>
    </row>
    <row r="310" ht="15.75" customHeight="1">
      <c r="H310" s="20" t="str">
        <f>IFERROR(__xludf.DUMMYFUNCTION("""COMPUTED_VALUE"""),"")</f>
        <v/>
      </c>
      <c r="I310" s="20" t="s">
        <v>170</v>
      </c>
    </row>
    <row r="311" ht="15.75" customHeight="1">
      <c r="H311" s="20" t="str">
        <f>IFERROR(__xludf.DUMMYFUNCTION("""COMPUTED_VALUE"""),"")</f>
        <v/>
      </c>
      <c r="I311" s="20" t="s">
        <v>170</v>
      </c>
    </row>
    <row r="312" ht="15.75" customHeight="1">
      <c r="H312" s="20" t="str">
        <f>IFERROR(__xludf.DUMMYFUNCTION("""COMPUTED_VALUE"""),"")</f>
        <v/>
      </c>
      <c r="I312" s="20" t="s">
        <v>170</v>
      </c>
    </row>
    <row r="313" ht="15.75" customHeight="1">
      <c r="H313" s="20" t="str">
        <f>IFERROR(__xludf.DUMMYFUNCTION("""COMPUTED_VALUE"""),"")</f>
        <v/>
      </c>
      <c r="I313" s="20" t="s">
        <v>170</v>
      </c>
    </row>
    <row r="314" ht="15.75" customHeight="1">
      <c r="H314" s="20" t="str">
        <f>IFERROR(__xludf.DUMMYFUNCTION("""COMPUTED_VALUE"""),"")</f>
        <v/>
      </c>
      <c r="I314" s="20" t="s">
        <v>170</v>
      </c>
    </row>
    <row r="315" ht="15.75" customHeight="1">
      <c r="H315" s="20" t="str">
        <f>IFERROR(__xludf.DUMMYFUNCTION("""COMPUTED_VALUE"""),"")</f>
        <v/>
      </c>
      <c r="I315" s="20" t="s">
        <v>170</v>
      </c>
    </row>
    <row r="316" ht="15.75" customHeight="1">
      <c r="H316" s="20" t="str">
        <f>IFERROR(__xludf.DUMMYFUNCTION("""COMPUTED_VALUE"""),"")</f>
        <v/>
      </c>
      <c r="I316" s="20" t="s">
        <v>170</v>
      </c>
    </row>
    <row r="317" ht="15.75" customHeight="1">
      <c r="H317" s="20" t="str">
        <f>IFERROR(__xludf.DUMMYFUNCTION("""COMPUTED_VALUE"""),"")</f>
        <v/>
      </c>
      <c r="I317" s="20" t="s">
        <v>170</v>
      </c>
    </row>
    <row r="318" ht="15.75" customHeight="1">
      <c r="H318" s="20" t="str">
        <f>IFERROR(__xludf.DUMMYFUNCTION("""COMPUTED_VALUE"""),"")</f>
        <v/>
      </c>
      <c r="I318" s="20" t="s">
        <v>170</v>
      </c>
    </row>
    <row r="319" ht="15.75" customHeight="1">
      <c r="H319" s="20" t="str">
        <f>IFERROR(__xludf.DUMMYFUNCTION("""COMPUTED_VALUE"""),"")</f>
        <v/>
      </c>
      <c r="I319" s="20" t="s">
        <v>170</v>
      </c>
    </row>
    <row r="320" ht="15.75" customHeight="1">
      <c r="H320" s="20" t="str">
        <f>IFERROR(__xludf.DUMMYFUNCTION("""COMPUTED_VALUE"""),"")</f>
        <v/>
      </c>
      <c r="I320" s="20" t="s">
        <v>170</v>
      </c>
    </row>
    <row r="321" ht="15.75" customHeight="1">
      <c r="H321" s="20" t="str">
        <f>IFERROR(__xludf.DUMMYFUNCTION("""COMPUTED_VALUE"""),"")</f>
        <v/>
      </c>
      <c r="I321" s="20" t="s">
        <v>170</v>
      </c>
    </row>
    <row r="322" ht="15.75" customHeight="1">
      <c r="H322" s="20" t="str">
        <f>IFERROR(__xludf.DUMMYFUNCTION("""COMPUTED_VALUE"""),"")</f>
        <v/>
      </c>
      <c r="I322" s="20" t="s">
        <v>170</v>
      </c>
    </row>
    <row r="323" ht="15.75" customHeight="1">
      <c r="H323" s="20" t="str">
        <f>IFERROR(__xludf.DUMMYFUNCTION("""COMPUTED_VALUE"""),"")</f>
        <v/>
      </c>
      <c r="I323" s="20" t="s">
        <v>170</v>
      </c>
    </row>
    <row r="324" ht="15.75" customHeight="1">
      <c r="H324" s="20" t="str">
        <f>IFERROR(__xludf.DUMMYFUNCTION("""COMPUTED_VALUE"""),"")</f>
        <v/>
      </c>
      <c r="I324" s="20" t="s">
        <v>170</v>
      </c>
    </row>
    <row r="325" ht="15.75" customHeight="1">
      <c r="H325" s="20" t="str">
        <f>IFERROR(__xludf.DUMMYFUNCTION("""COMPUTED_VALUE"""),"")</f>
        <v/>
      </c>
      <c r="I325" s="20" t="s">
        <v>170</v>
      </c>
    </row>
    <row r="326" ht="15.75" customHeight="1">
      <c r="H326" s="20" t="str">
        <f>IFERROR(__xludf.DUMMYFUNCTION("""COMPUTED_VALUE"""),"")</f>
        <v/>
      </c>
      <c r="I326" s="20" t="s">
        <v>170</v>
      </c>
    </row>
    <row r="327" ht="15.75" customHeight="1">
      <c r="A327" s="1" t="s">
        <v>1843</v>
      </c>
      <c r="B327" s="1" t="s">
        <v>1844</v>
      </c>
      <c r="C327" s="1" t="s">
        <v>1845</v>
      </c>
      <c r="D327" s="1" t="s">
        <v>1846</v>
      </c>
      <c r="E327" s="1" t="s">
        <v>1847</v>
      </c>
      <c r="G327" s="1" t="s">
        <v>1848</v>
      </c>
      <c r="H327" s="1"/>
      <c r="I327" s="1" t="s">
        <v>1848</v>
      </c>
      <c r="J327" s="1">
        <v>0.0</v>
      </c>
      <c r="N327" s="1" t="s">
        <v>1849</v>
      </c>
      <c r="O327" s="1" t="s">
        <v>1850</v>
      </c>
      <c r="P327" s="1" t="s">
        <v>1851</v>
      </c>
      <c r="Q327" s="1" t="s">
        <v>1852</v>
      </c>
      <c r="V327" s="1" t="b">
        <v>0</v>
      </c>
    </row>
    <row r="328" ht="15.75" customHeight="1">
      <c r="H328" s="20" t="str">
        <f>IFERROR(__xludf.DUMMYFUNCTION("""COMPUTED_VALUE"""),"")</f>
        <v/>
      </c>
      <c r="I328" s="20" t="s">
        <v>170</v>
      </c>
    </row>
    <row r="329" ht="15.75" customHeight="1">
      <c r="H329" s="20" t="str">
        <f>IFERROR(__xludf.DUMMYFUNCTION("""COMPUTED_VALUE"""),"")</f>
        <v/>
      </c>
      <c r="I329" s="20" t="s">
        <v>170</v>
      </c>
    </row>
    <row r="330" ht="15.75" customHeight="1">
      <c r="H330" s="20" t="str">
        <f>IFERROR(__xludf.DUMMYFUNCTION("""COMPUTED_VALUE"""),"")</f>
        <v/>
      </c>
      <c r="I330" s="20" t="s">
        <v>170</v>
      </c>
    </row>
    <row r="331" ht="15.75" customHeight="1">
      <c r="H331" s="20" t="str">
        <f>IFERROR(__xludf.DUMMYFUNCTION("""COMPUTED_VALUE"""),"")</f>
        <v/>
      </c>
      <c r="I331" s="20" t="s">
        <v>170</v>
      </c>
    </row>
    <row r="332" ht="15.75" customHeight="1">
      <c r="H332" s="20" t="str">
        <f>IFERROR(__xludf.DUMMYFUNCTION("""COMPUTED_VALUE"""),"")</f>
        <v/>
      </c>
      <c r="I332" s="20" t="s">
        <v>170</v>
      </c>
    </row>
    <row r="333" ht="15.75" customHeight="1">
      <c r="H333" s="20" t="str">
        <f>IFERROR(__xludf.DUMMYFUNCTION("""COMPUTED_VALUE"""),"")</f>
        <v/>
      </c>
      <c r="I333" s="20" t="s">
        <v>170</v>
      </c>
    </row>
    <row r="334" ht="15.75" customHeight="1">
      <c r="H334" s="20" t="str">
        <f>IFERROR(__xludf.DUMMYFUNCTION("""COMPUTED_VALUE"""),"")</f>
        <v/>
      </c>
      <c r="I334" s="20" t="s">
        <v>170</v>
      </c>
    </row>
    <row r="335" ht="15.75" customHeight="1">
      <c r="H335" s="20" t="str">
        <f>IFERROR(__xludf.DUMMYFUNCTION("""COMPUTED_VALUE"""),"")</f>
        <v/>
      </c>
      <c r="I335" s="20" t="s">
        <v>170</v>
      </c>
    </row>
    <row r="336" ht="15.75" customHeight="1">
      <c r="H336" s="20" t="str">
        <f>IFERROR(__xludf.DUMMYFUNCTION("""COMPUTED_VALUE"""),"")</f>
        <v/>
      </c>
      <c r="I336" s="20" t="s">
        <v>170</v>
      </c>
    </row>
    <row r="337" ht="15.75" customHeight="1">
      <c r="H337" s="20" t="str">
        <f>IFERROR(__xludf.DUMMYFUNCTION("""COMPUTED_VALUE"""),"")</f>
        <v/>
      </c>
      <c r="I337" s="20" t="s">
        <v>170</v>
      </c>
    </row>
    <row r="338" ht="15.75" customHeight="1">
      <c r="H338" s="20" t="str">
        <f>IFERROR(__xludf.DUMMYFUNCTION("""COMPUTED_VALUE"""),"")</f>
        <v/>
      </c>
      <c r="I338" s="20" t="s">
        <v>170</v>
      </c>
    </row>
    <row r="339" ht="15.75" customHeight="1">
      <c r="H339" s="20" t="str">
        <f>IFERROR(__xludf.DUMMYFUNCTION("""COMPUTED_VALUE"""),"")</f>
        <v/>
      </c>
      <c r="I339" s="20" t="s">
        <v>170</v>
      </c>
    </row>
    <row r="340" ht="15.75" customHeight="1">
      <c r="H340" s="20" t="str">
        <f>IFERROR(__xludf.DUMMYFUNCTION("""COMPUTED_VALUE"""),"")</f>
        <v/>
      </c>
      <c r="I340" s="20" t="s">
        <v>170</v>
      </c>
    </row>
    <row r="341" ht="15.75" customHeight="1">
      <c r="H341" s="20" t="str">
        <f>IFERROR(__xludf.DUMMYFUNCTION("""COMPUTED_VALUE"""),"")</f>
        <v/>
      </c>
      <c r="I341" s="20" t="s">
        <v>170</v>
      </c>
    </row>
    <row r="342" ht="15.75" customHeight="1">
      <c r="H342" s="20" t="str">
        <f>IFERROR(__xludf.DUMMYFUNCTION("""COMPUTED_VALUE"""),"")</f>
        <v/>
      </c>
      <c r="I342" s="20" t="s">
        <v>170</v>
      </c>
    </row>
    <row r="343" ht="15.75" customHeight="1">
      <c r="H343" s="20" t="str">
        <f>IFERROR(__xludf.DUMMYFUNCTION("""COMPUTED_VALUE"""),"")</f>
        <v/>
      </c>
      <c r="I343" s="20" t="s">
        <v>170</v>
      </c>
    </row>
    <row r="344" ht="15.75" customHeight="1">
      <c r="H344" s="20" t="str">
        <f>IFERROR(__xludf.DUMMYFUNCTION("""COMPUTED_VALUE"""),"")</f>
        <v/>
      </c>
      <c r="I344" s="20" t="s">
        <v>170</v>
      </c>
    </row>
    <row r="345" ht="15.75" customHeight="1">
      <c r="H345" s="20" t="str">
        <f>IFERROR(__xludf.DUMMYFUNCTION("""COMPUTED_VALUE"""),"")</f>
        <v/>
      </c>
      <c r="I345" s="20" t="s">
        <v>170</v>
      </c>
    </row>
    <row r="346" ht="15.75" customHeight="1">
      <c r="H346" s="20" t="str">
        <f>IFERROR(__xludf.DUMMYFUNCTION("""COMPUTED_VALUE"""),"")</f>
        <v/>
      </c>
      <c r="I346" s="20" t="s">
        <v>170</v>
      </c>
    </row>
    <row r="347" ht="15.75" customHeight="1">
      <c r="H347" s="20" t="str">
        <f>IFERROR(__xludf.DUMMYFUNCTION("""COMPUTED_VALUE"""),"")</f>
        <v/>
      </c>
      <c r="I347" s="20" t="s">
        <v>170</v>
      </c>
    </row>
    <row r="348" ht="15.75" customHeight="1">
      <c r="H348" s="20" t="str">
        <f>IFERROR(__xludf.DUMMYFUNCTION("""COMPUTED_VALUE"""),"")</f>
        <v/>
      </c>
      <c r="I348" s="20" t="s">
        <v>170</v>
      </c>
    </row>
    <row r="349" ht="15.75" customHeight="1">
      <c r="H349" s="20" t="str">
        <f>IFERROR(__xludf.DUMMYFUNCTION("""COMPUTED_VALUE"""),"")</f>
        <v/>
      </c>
      <c r="I349" s="20" t="s">
        <v>170</v>
      </c>
    </row>
    <row r="350" ht="15.75" customHeight="1">
      <c r="H350" s="20" t="str">
        <f>IFERROR(__xludf.DUMMYFUNCTION("""COMPUTED_VALUE"""),"")</f>
        <v/>
      </c>
      <c r="I350" s="20" t="s">
        <v>170</v>
      </c>
    </row>
    <row r="351" ht="15.75" customHeight="1">
      <c r="H351" s="20" t="str">
        <f>IFERROR(__xludf.DUMMYFUNCTION("""COMPUTED_VALUE"""),"")</f>
        <v/>
      </c>
      <c r="I351" s="20" t="s">
        <v>170</v>
      </c>
    </row>
    <row r="352" ht="15.75" customHeight="1">
      <c r="H352" s="20" t="str">
        <f>IFERROR(__xludf.DUMMYFUNCTION("""COMPUTED_VALUE"""),"")</f>
        <v/>
      </c>
      <c r="I352" s="20" t="s">
        <v>170</v>
      </c>
    </row>
    <row r="353" ht="15.75" customHeight="1">
      <c r="H353" s="20" t="str">
        <f>IFERROR(__xludf.DUMMYFUNCTION("""COMPUTED_VALUE"""),"")</f>
        <v/>
      </c>
      <c r="I353" s="20" t="s">
        <v>170</v>
      </c>
    </row>
    <row r="354" ht="15.75" customHeight="1">
      <c r="H354" s="20" t="str">
        <f>IFERROR(__xludf.DUMMYFUNCTION("""COMPUTED_VALUE"""),"")</f>
        <v/>
      </c>
      <c r="I354" s="20" t="s">
        <v>170</v>
      </c>
    </row>
    <row r="355" ht="15.75" customHeight="1">
      <c r="H355" s="20" t="str">
        <f>IFERROR(__xludf.DUMMYFUNCTION("""COMPUTED_VALUE"""),"")</f>
        <v/>
      </c>
      <c r="I355" s="20" t="s">
        <v>170</v>
      </c>
    </row>
    <row r="356" ht="15.75" customHeight="1">
      <c r="H356" s="20" t="str">
        <f>IFERROR(__xludf.DUMMYFUNCTION("""COMPUTED_VALUE"""),"")</f>
        <v/>
      </c>
      <c r="I356" s="20" t="s">
        <v>170</v>
      </c>
    </row>
    <row r="357" ht="15.75" customHeight="1">
      <c r="H357" s="20" t="str">
        <f>IFERROR(__xludf.DUMMYFUNCTION("""COMPUTED_VALUE"""),"")</f>
        <v/>
      </c>
      <c r="I357" s="20" t="s">
        <v>170</v>
      </c>
    </row>
    <row r="358" ht="15.75" customHeight="1">
      <c r="H358" s="20" t="str">
        <f>IFERROR(__xludf.DUMMYFUNCTION("""COMPUTED_VALUE"""),"")</f>
        <v/>
      </c>
      <c r="I358" s="20" t="s">
        <v>170</v>
      </c>
    </row>
    <row r="359" ht="15.75" customHeight="1">
      <c r="H359" s="20" t="str">
        <f>IFERROR(__xludf.DUMMYFUNCTION("""COMPUTED_VALUE"""),"")</f>
        <v/>
      </c>
      <c r="I359" s="20" t="s">
        <v>170</v>
      </c>
    </row>
    <row r="360" ht="15.75" customHeight="1">
      <c r="H360" s="20" t="str">
        <f>IFERROR(__xludf.DUMMYFUNCTION("""COMPUTED_VALUE"""),"")</f>
        <v/>
      </c>
      <c r="I360" s="20" t="s">
        <v>170</v>
      </c>
    </row>
    <row r="361" ht="15.75" customHeight="1">
      <c r="H361" s="20" t="str">
        <f>IFERROR(__xludf.DUMMYFUNCTION("""COMPUTED_VALUE"""),"")</f>
        <v/>
      </c>
      <c r="I361" s="20" t="s">
        <v>170</v>
      </c>
    </row>
    <row r="362" ht="15.75" customHeight="1">
      <c r="H362" s="20" t="str">
        <f>IFERROR(__xludf.DUMMYFUNCTION("""COMPUTED_VALUE"""),"")</f>
        <v/>
      </c>
      <c r="I362" s="20" t="s">
        <v>170</v>
      </c>
    </row>
    <row r="363" ht="15.75" customHeight="1">
      <c r="H363" s="20" t="str">
        <f>IFERROR(__xludf.DUMMYFUNCTION("""COMPUTED_VALUE"""),"")</f>
        <v/>
      </c>
      <c r="I363" s="20" t="s">
        <v>170</v>
      </c>
    </row>
    <row r="364" ht="15.75" customHeight="1">
      <c r="H364" s="20" t="str">
        <f>IFERROR(__xludf.DUMMYFUNCTION("""COMPUTED_VALUE"""),"")</f>
        <v/>
      </c>
      <c r="I364" s="20" t="s">
        <v>170</v>
      </c>
    </row>
    <row r="365" ht="15.75" customHeight="1">
      <c r="H365" s="20" t="str">
        <f>IFERROR(__xludf.DUMMYFUNCTION("""COMPUTED_VALUE"""),"")</f>
        <v/>
      </c>
      <c r="I365" s="20" t="s">
        <v>170</v>
      </c>
    </row>
    <row r="366" ht="15.75" customHeight="1">
      <c r="H366" s="20" t="str">
        <f>IFERROR(__xludf.DUMMYFUNCTION("""COMPUTED_VALUE"""),"")</f>
        <v/>
      </c>
      <c r="I366" s="20" t="s">
        <v>170</v>
      </c>
    </row>
    <row r="367" ht="15.75" customHeight="1">
      <c r="H367" s="20" t="str">
        <f>IFERROR(__xludf.DUMMYFUNCTION("""COMPUTED_VALUE"""),"")</f>
        <v/>
      </c>
      <c r="I367" s="20" t="s">
        <v>170</v>
      </c>
    </row>
    <row r="368" ht="15.75" customHeight="1">
      <c r="H368" s="20" t="str">
        <f>IFERROR(__xludf.DUMMYFUNCTION("""COMPUTED_VALUE"""),"")</f>
        <v/>
      </c>
      <c r="I368" s="20" t="s">
        <v>170</v>
      </c>
    </row>
    <row r="369" ht="15.75" customHeight="1">
      <c r="H369" s="20" t="str">
        <f>IFERROR(__xludf.DUMMYFUNCTION("""COMPUTED_VALUE"""),"")</f>
        <v/>
      </c>
      <c r="I369" s="20" t="s">
        <v>170</v>
      </c>
    </row>
    <row r="370" ht="15.75" customHeight="1">
      <c r="H370" s="20" t="str">
        <f>IFERROR(__xludf.DUMMYFUNCTION("""COMPUTED_VALUE"""),"")</f>
        <v/>
      </c>
      <c r="I370" s="20" t="s">
        <v>170</v>
      </c>
    </row>
    <row r="371" ht="15.75" customHeight="1">
      <c r="H371" s="20" t="str">
        <f>IFERROR(__xludf.DUMMYFUNCTION("""COMPUTED_VALUE"""),"")</f>
        <v/>
      </c>
      <c r="I371" s="20" t="s">
        <v>170</v>
      </c>
    </row>
    <row r="372" ht="15.75" customHeight="1">
      <c r="H372" s="20" t="str">
        <f>IFERROR(__xludf.DUMMYFUNCTION("""COMPUTED_VALUE"""),"")</f>
        <v/>
      </c>
      <c r="I372" s="20" t="s">
        <v>170</v>
      </c>
    </row>
    <row r="373" ht="15.75" customHeight="1">
      <c r="H373" s="20" t="str">
        <f>IFERROR(__xludf.DUMMYFUNCTION("""COMPUTED_VALUE"""),"")</f>
        <v/>
      </c>
      <c r="I373" s="20" t="s">
        <v>170</v>
      </c>
    </row>
    <row r="374" ht="15.75" customHeight="1">
      <c r="H374" s="20" t="str">
        <f>IFERROR(__xludf.DUMMYFUNCTION("""COMPUTED_VALUE"""),"")</f>
        <v/>
      </c>
      <c r="I374" s="20" t="s">
        <v>170</v>
      </c>
    </row>
    <row r="375" ht="15.75" customHeight="1">
      <c r="H375" s="20" t="str">
        <f>IFERROR(__xludf.DUMMYFUNCTION("""COMPUTED_VALUE"""),"")</f>
        <v/>
      </c>
      <c r="I375" s="20" t="s">
        <v>170</v>
      </c>
    </row>
    <row r="376" ht="15.75" customHeight="1">
      <c r="H376" s="20" t="str">
        <f>IFERROR(__xludf.DUMMYFUNCTION("""COMPUTED_VALUE"""),"")</f>
        <v/>
      </c>
      <c r="I376" s="20" t="s">
        <v>170</v>
      </c>
    </row>
    <row r="377" ht="15.75" customHeight="1">
      <c r="H377" s="20" t="str">
        <f>IFERROR(__xludf.DUMMYFUNCTION("""COMPUTED_VALUE"""),"")</f>
        <v/>
      </c>
      <c r="I377" s="20" t="s">
        <v>170</v>
      </c>
    </row>
    <row r="378" ht="15.75" customHeight="1">
      <c r="H378" s="20" t="str">
        <f>IFERROR(__xludf.DUMMYFUNCTION("""COMPUTED_VALUE"""),"")</f>
        <v/>
      </c>
      <c r="I378" s="20" t="s">
        <v>170</v>
      </c>
    </row>
    <row r="379" ht="15.75" customHeight="1">
      <c r="H379" s="20" t="str">
        <f>IFERROR(__xludf.DUMMYFUNCTION("""COMPUTED_VALUE"""),"")</f>
        <v/>
      </c>
      <c r="I379" s="20" t="s">
        <v>170</v>
      </c>
    </row>
    <row r="380" ht="15.75" customHeight="1">
      <c r="H380" s="20" t="str">
        <f>IFERROR(__xludf.DUMMYFUNCTION("""COMPUTED_VALUE"""),"")</f>
        <v/>
      </c>
      <c r="I380" s="20" t="s">
        <v>170</v>
      </c>
    </row>
    <row r="381" ht="15.75" customHeight="1">
      <c r="H381" s="20" t="str">
        <f>IFERROR(__xludf.DUMMYFUNCTION("""COMPUTED_VALUE"""),"")</f>
        <v/>
      </c>
      <c r="I381" s="20" t="s">
        <v>170</v>
      </c>
    </row>
    <row r="382" ht="15.75" customHeight="1">
      <c r="H382" s="20" t="str">
        <f>IFERROR(__xludf.DUMMYFUNCTION("""COMPUTED_VALUE"""),"")</f>
        <v/>
      </c>
      <c r="I382" s="20" t="s">
        <v>170</v>
      </c>
    </row>
    <row r="383" ht="15.75" customHeight="1">
      <c r="H383" s="20" t="str">
        <f>IFERROR(__xludf.DUMMYFUNCTION("""COMPUTED_VALUE"""),"")</f>
        <v/>
      </c>
      <c r="I383" s="20" t="s">
        <v>170</v>
      </c>
    </row>
    <row r="384" ht="15.75" customHeight="1">
      <c r="H384" s="20" t="str">
        <f>IFERROR(__xludf.DUMMYFUNCTION("""COMPUTED_VALUE"""),"")</f>
        <v/>
      </c>
      <c r="I384" s="20" t="s">
        <v>170</v>
      </c>
    </row>
    <row r="385" ht="15.75" customHeight="1">
      <c r="H385" s="20" t="str">
        <f>IFERROR(__xludf.DUMMYFUNCTION("""COMPUTED_VALUE"""),"")</f>
        <v/>
      </c>
      <c r="I385" s="20" t="s">
        <v>170</v>
      </c>
    </row>
    <row r="386" ht="15.75" customHeight="1">
      <c r="H386" s="20" t="str">
        <f>IFERROR(__xludf.DUMMYFUNCTION("""COMPUTED_VALUE"""),"")</f>
        <v/>
      </c>
      <c r="I386" s="20" t="s">
        <v>170</v>
      </c>
    </row>
    <row r="387" ht="15.75" customHeight="1">
      <c r="H387" s="20" t="str">
        <f>IFERROR(__xludf.DUMMYFUNCTION("""COMPUTED_VALUE"""),"")</f>
        <v/>
      </c>
      <c r="I387" s="20" t="s">
        <v>170</v>
      </c>
    </row>
    <row r="388" ht="15.75" customHeight="1">
      <c r="H388" s="20" t="str">
        <f>IFERROR(__xludf.DUMMYFUNCTION("""COMPUTED_VALUE"""),"")</f>
        <v/>
      </c>
      <c r="I388" s="20" t="s">
        <v>170</v>
      </c>
    </row>
    <row r="389" ht="15.75" customHeight="1">
      <c r="H389" s="20" t="str">
        <f>IFERROR(__xludf.DUMMYFUNCTION("""COMPUTED_VALUE"""),"")</f>
        <v/>
      </c>
      <c r="I389" s="20" t="s">
        <v>170</v>
      </c>
    </row>
    <row r="390" ht="15.75" customHeight="1">
      <c r="H390" s="20" t="str">
        <f>IFERROR(__xludf.DUMMYFUNCTION("""COMPUTED_VALUE"""),"")</f>
        <v/>
      </c>
      <c r="I390" s="20" t="s">
        <v>170</v>
      </c>
    </row>
    <row r="391" ht="15.75" customHeight="1">
      <c r="H391" s="20" t="str">
        <f>IFERROR(__xludf.DUMMYFUNCTION("""COMPUTED_VALUE"""),"")</f>
        <v/>
      </c>
      <c r="I391" s="20" t="s">
        <v>170</v>
      </c>
    </row>
    <row r="392" ht="15.75" customHeight="1">
      <c r="H392" s="20" t="str">
        <f>IFERROR(__xludf.DUMMYFUNCTION("""COMPUTED_VALUE"""),"")</f>
        <v/>
      </c>
      <c r="I392" s="20" t="s">
        <v>170</v>
      </c>
    </row>
    <row r="393" ht="15.75" customHeight="1">
      <c r="H393" s="20" t="str">
        <f>IFERROR(__xludf.DUMMYFUNCTION("""COMPUTED_VALUE"""),"")</f>
        <v/>
      </c>
      <c r="I393" s="20" t="s">
        <v>170</v>
      </c>
    </row>
    <row r="394" ht="15.75" customHeight="1">
      <c r="H394" s="20" t="str">
        <f>IFERROR(__xludf.DUMMYFUNCTION("""COMPUTED_VALUE"""),"")</f>
        <v/>
      </c>
      <c r="I394" s="20" t="s">
        <v>170</v>
      </c>
    </row>
    <row r="395" ht="15.75" customHeight="1">
      <c r="H395" s="20" t="str">
        <f>IFERROR(__xludf.DUMMYFUNCTION("""COMPUTED_VALUE"""),"")</f>
        <v/>
      </c>
      <c r="I395" s="20" t="s">
        <v>170</v>
      </c>
    </row>
    <row r="396" ht="15.75" customHeight="1">
      <c r="H396" s="20" t="str">
        <f>IFERROR(__xludf.DUMMYFUNCTION("""COMPUTED_VALUE"""),"")</f>
        <v/>
      </c>
      <c r="I396" s="20" t="s">
        <v>170</v>
      </c>
    </row>
    <row r="397" ht="15.75" customHeight="1">
      <c r="H397" s="20" t="str">
        <f>IFERROR(__xludf.DUMMYFUNCTION("""COMPUTED_VALUE"""),"")</f>
        <v/>
      </c>
      <c r="I397" s="20" t="s">
        <v>170</v>
      </c>
    </row>
    <row r="398" ht="15.75" customHeight="1">
      <c r="H398" s="20" t="str">
        <f>IFERROR(__xludf.DUMMYFUNCTION("""COMPUTED_VALUE"""),"")</f>
        <v/>
      </c>
      <c r="I398" s="20" t="s">
        <v>170</v>
      </c>
    </row>
    <row r="399" ht="15.75" customHeight="1">
      <c r="H399" s="20" t="str">
        <f>IFERROR(__xludf.DUMMYFUNCTION("""COMPUTED_VALUE"""),"")</f>
        <v/>
      </c>
      <c r="I399" s="20" t="s">
        <v>170</v>
      </c>
    </row>
    <row r="400" ht="15.75" customHeight="1">
      <c r="H400" s="20" t="str">
        <f>IFERROR(__xludf.DUMMYFUNCTION("""COMPUTED_VALUE"""),"")</f>
        <v/>
      </c>
      <c r="I400" s="20" t="s">
        <v>170</v>
      </c>
    </row>
    <row r="401" ht="15.75" customHeight="1">
      <c r="H401" s="20" t="str">
        <f>IFERROR(__xludf.DUMMYFUNCTION("""COMPUTED_VALUE"""),"")</f>
        <v/>
      </c>
      <c r="I401" s="20" t="s">
        <v>170</v>
      </c>
    </row>
    <row r="402" ht="15.75" customHeight="1">
      <c r="H402" s="20" t="str">
        <f>IFERROR(__xludf.DUMMYFUNCTION("""COMPUTED_VALUE"""),"")</f>
        <v/>
      </c>
      <c r="I402" s="20" t="s">
        <v>170</v>
      </c>
    </row>
    <row r="403" ht="15.75" customHeight="1">
      <c r="H403" s="20" t="str">
        <f>IFERROR(__xludf.DUMMYFUNCTION("""COMPUTED_VALUE"""),"")</f>
        <v/>
      </c>
      <c r="I403" s="20" t="s">
        <v>170</v>
      </c>
    </row>
    <row r="404" ht="15.75" customHeight="1">
      <c r="H404" s="20" t="str">
        <f>IFERROR(__xludf.DUMMYFUNCTION("""COMPUTED_VALUE"""),"")</f>
        <v/>
      </c>
      <c r="I404" s="20" t="s">
        <v>170</v>
      </c>
    </row>
    <row r="405" ht="15.75" customHeight="1">
      <c r="H405" s="20" t="str">
        <f>IFERROR(__xludf.DUMMYFUNCTION("""COMPUTED_VALUE"""),"")</f>
        <v/>
      </c>
      <c r="I405" s="20" t="s">
        <v>170</v>
      </c>
    </row>
    <row r="406" ht="15.75" customHeight="1">
      <c r="H406" s="20" t="str">
        <f>IFERROR(__xludf.DUMMYFUNCTION("""COMPUTED_VALUE"""),"")</f>
        <v/>
      </c>
      <c r="I406" s="20" t="s">
        <v>170</v>
      </c>
    </row>
    <row r="407" ht="15.75" customHeight="1">
      <c r="H407" s="20" t="str">
        <f>IFERROR(__xludf.DUMMYFUNCTION("""COMPUTED_VALUE"""),"")</f>
        <v/>
      </c>
      <c r="I407" s="20" t="s">
        <v>170</v>
      </c>
    </row>
    <row r="408" ht="15.75" customHeight="1">
      <c r="H408" s="20" t="str">
        <f>IFERROR(__xludf.DUMMYFUNCTION("""COMPUTED_VALUE"""),"")</f>
        <v/>
      </c>
      <c r="I408" s="20" t="s">
        <v>170</v>
      </c>
    </row>
    <row r="409" ht="15.75" customHeight="1">
      <c r="H409" s="20" t="str">
        <f>IFERROR(__xludf.DUMMYFUNCTION("""COMPUTED_VALUE"""),"")</f>
        <v/>
      </c>
      <c r="I409" s="20" t="s">
        <v>170</v>
      </c>
    </row>
    <row r="410" ht="15.75" customHeight="1">
      <c r="H410" s="20" t="str">
        <f>IFERROR(__xludf.DUMMYFUNCTION("""COMPUTED_VALUE"""),"")</f>
        <v/>
      </c>
      <c r="I410" s="20" t="s">
        <v>170</v>
      </c>
    </row>
    <row r="411" ht="15.75" customHeight="1">
      <c r="H411" s="20" t="str">
        <f>IFERROR(__xludf.DUMMYFUNCTION("""COMPUTED_VALUE"""),"")</f>
        <v/>
      </c>
      <c r="I411" s="20" t="s">
        <v>170</v>
      </c>
    </row>
    <row r="412" ht="15.75" customHeight="1">
      <c r="H412" s="20" t="str">
        <f>IFERROR(__xludf.DUMMYFUNCTION("""COMPUTED_VALUE"""),"")</f>
        <v/>
      </c>
      <c r="I412" s="20" t="s">
        <v>170</v>
      </c>
    </row>
    <row r="413" ht="15.75" customHeight="1">
      <c r="H413" s="20" t="str">
        <f>IFERROR(__xludf.DUMMYFUNCTION("""COMPUTED_VALUE"""),"")</f>
        <v/>
      </c>
      <c r="I413" s="20" t="s">
        <v>170</v>
      </c>
    </row>
    <row r="414" ht="15.75" customHeight="1">
      <c r="H414" s="20" t="str">
        <f>IFERROR(__xludf.DUMMYFUNCTION("""COMPUTED_VALUE"""),"")</f>
        <v/>
      </c>
      <c r="I414" s="20" t="s">
        <v>170</v>
      </c>
    </row>
    <row r="415" ht="15.75" customHeight="1">
      <c r="H415" s="20" t="str">
        <f>IFERROR(__xludf.DUMMYFUNCTION("""COMPUTED_VALUE"""),"")</f>
        <v/>
      </c>
      <c r="I415" s="20" t="s">
        <v>170</v>
      </c>
    </row>
    <row r="416" ht="15.75" customHeight="1">
      <c r="H416" s="20" t="str">
        <f>IFERROR(__xludf.DUMMYFUNCTION("""COMPUTED_VALUE"""),"")</f>
        <v/>
      </c>
      <c r="I416" s="20" t="s">
        <v>170</v>
      </c>
    </row>
    <row r="417" ht="15.75" customHeight="1">
      <c r="H417" s="20" t="str">
        <f>IFERROR(__xludf.DUMMYFUNCTION("""COMPUTED_VALUE"""),"")</f>
        <v/>
      </c>
      <c r="I417" s="20" t="s">
        <v>170</v>
      </c>
    </row>
    <row r="418" ht="15.75" customHeight="1">
      <c r="H418" s="20" t="str">
        <f>IFERROR(__xludf.DUMMYFUNCTION("""COMPUTED_VALUE"""),"")</f>
        <v/>
      </c>
      <c r="I418" s="20" t="s">
        <v>170</v>
      </c>
    </row>
    <row r="419" ht="15.75" customHeight="1">
      <c r="H419" s="20" t="str">
        <f>IFERROR(__xludf.DUMMYFUNCTION("""COMPUTED_VALUE"""),"")</f>
        <v/>
      </c>
      <c r="I419" s="20" t="s">
        <v>170</v>
      </c>
    </row>
    <row r="420" ht="15.75" customHeight="1">
      <c r="H420" s="20" t="str">
        <f>IFERROR(__xludf.DUMMYFUNCTION("""COMPUTED_VALUE"""),"")</f>
        <v/>
      </c>
      <c r="I420" s="20" t="s">
        <v>170</v>
      </c>
    </row>
    <row r="421" ht="15.75" customHeight="1">
      <c r="H421" s="20" t="str">
        <f>IFERROR(__xludf.DUMMYFUNCTION("""COMPUTED_VALUE"""),"")</f>
        <v/>
      </c>
      <c r="I421" s="20" t="s">
        <v>170</v>
      </c>
    </row>
    <row r="422" ht="15.75" customHeight="1">
      <c r="H422" s="20" t="str">
        <f>IFERROR(__xludf.DUMMYFUNCTION("""COMPUTED_VALUE"""),"")</f>
        <v/>
      </c>
      <c r="I422" s="20" t="s">
        <v>170</v>
      </c>
    </row>
    <row r="423" ht="15.75" customHeight="1">
      <c r="H423" s="20" t="str">
        <f>IFERROR(__xludf.DUMMYFUNCTION("""COMPUTED_VALUE"""),"")</f>
        <v/>
      </c>
      <c r="I423" s="20" t="s">
        <v>170</v>
      </c>
    </row>
    <row r="424" ht="15.75" customHeight="1">
      <c r="H424" s="20" t="str">
        <f>IFERROR(__xludf.DUMMYFUNCTION("""COMPUTED_VALUE"""),"")</f>
        <v/>
      </c>
      <c r="I424" s="20" t="s">
        <v>170</v>
      </c>
    </row>
    <row r="425" ht="15.75" customHeight="1">
      <c r="H425" s="20" t="str">
        <f>IFERROR(__xludf.DUMMYFUNCTION("""COMPUTED_VALUE"""),"")</f>
        <v/>
      </c>
      <c r="I425" s="20" t="s">
        <v>170</v>
      </c>
    </row>
    <row r="426" ht="15.75" customHeight="1">
      <c r="H426" s="20" t="str">
        <f>IFERROR(__xludf.DUMMYFUNCTION("""COMPUTED_VALUE"""),"")</f>
        <v/>
      </c>
      <c r="I426" s="20" t="s">
        <v>170</v>
      </c>
    </row>
    <row r="427" ht="15.75" customHeight="1">
      <c r="H427" s="20" t="str">
        <f>IFERROR(__xludf.DUMMYFUNCTION("""COMPUTED_VALUE"""),"")</f>
        <v/>
      </c>
      <c r="I427" s="20" t="s">
        <v>170</v>
      </c>
    </row>
    <row r="428" ht="15.75" customHeight="1">
      <c r="H428" s="20" t="str">
        <f>IFERROR(__xludf.DUMMYFUNCTION("""COMPUTED_VALUE"""),"")</f>
        <v/>
      </c>
      <c r="I428" s="20" t="s">
        <v>170</v>
      </c>
    </row>
    <row r="429" ht="15.75" customHeight="1">
      <c r="H429" s="20" t="str">
        <f>IFERROR(__xludf.DUMMYFUNCTION("""COMPUTED_VALUE"""),"")</f>
        <v/>
      </c>
      <c r="I429" s="20" t="s">
        <v>170</v>
      </c>
    </row>
    <row r="430" ht="15.75" customHeight="1">
      <c r="H430" s="20" t="str">
        <f>IFERROR(__xludf.DUMMYFUNCTION("""COMPUTED_VALUE"""),"")</f>
        <v/>
      </c>
      <c r="I430" s="20" t="s">
        <v>170</v>
      </c>
    </row>
    <row r="431" ht="15.75" customHeight="1">
      <c r="H431" s="20" t="str">
        <f>IFERROR(__xludf.DUMMYFUNCTION("""COMPUTED_VALUE"""),"")</f>
        <v/>
      </c>
      <c r="I431" s="20" t="s">
        <v>170</v>
      </c>
    </row>
    <row r="432" ht="15.75" customHeight="1">
      <c r="H432" s="20" t="str">
        <f>IFERROR(__xludf.DUMMYFUNCTION("""COMPUTED_VALUE"""),"")</f>
        <v/>
      </c>
      <c r="I432" s="20" t="s">
        <v>170</v>
      </c>
    </row>
    <row r="433" ht="15.75" customHeight="1">
      <c r="H433" s="20" t="str">
        <f>IFERROR(__xludf.DUMMYFUNCTION("""COMPUTED_VALUE"""),"")</f>
        <v/>
      </c>
      <c r="I433" s="20" t="s">
        <v>170</v>
      </c>
    </row>
    <row r="434" ht="15.75" customHeight="1">
      <c r="H434" s="20" t="str">
        <f>IFERROR(__xludf.DUMMYFUNCTION("""COMPUTED_VALUE"""),"")</f>
        <v/>
      </c>
      <c r="I434" s="20" t="s">
        <v>170</v>
      </c>
    </row>
    <row r="435" ht="15.75" customHeight="1">
      <c r="H435" s="20" t="str">
        <f>IFERROR(__xludf.DUMMYFUNCTION("""COMPUTED_VALUE"""),"")</f>
        <v/>
      </c>
      <c r="I435" s="20" t="s">
        <v>170</v>
      </c>
    </row>
    <row r="436" ht="15.75" customHeight="1">
      <c r="H436" s="20" t="str">
        <f>IFERROR(__xludf.DUMMYFUNCTION("""COMPUTED_VALUE"""),"")</f>
        <v/>
      </c>
      <c r="I436" s="20" t="s">
        <v>170</v>
      </c>
    </row>
    <row r="437" ht="15.75" customHeight="1">
      <c r="H437" s="20" t="str">
        <f>IFERROR(__xludf.DUMMYFUNCTION("""COMPUTED_VALUE"""),"")</f>
        <v/>
      </c>
      <c r="I437" s="20" t="s">
        <v>170</v>
      </c>
    </row>
    <row r="438" ht="15.75" customHeight="1">
      <c r="H438" s="20" t="str">
        <f>IFERROR(__xludf.DUMMYFUNCTION("""COMPUTED_VALUE"""),"")</f>
        <v/>
      </c>
      <c r="I438" s="20" t="s">
        <v>170</v>
      </c>
    </row>
    <row r="439" ht="15.75" customHeight="1">
      <c r="H439" s="20" t="str">
        <f>IFERROR(__xludf.DUMMYFUNCTION("""COMPUTED_VALUE"""),"")</f>
        <v/>
      </c>
      <c r="I439" s="20" t="s">
        <v>170</v>
      </c>
    </row>
    <row r="440" ht="15.75" customHeight="1">
      <c r="H440" s="20" t="str">
        <f>IFERROR(__xludf.DUMMYFUNCTION("""COMPUTED_VALUE"""),"")</f>
        <v/>
      </c>
      <c r="I440" s="20" t="s">
        <v>170</v>
      </c>
    </row>
    <row r="441" ht="15.75" customHeight="1">
      <c r="H441" s="20" t="str">
        <f>IFERROR(__xludf.DUMMYFUNCTION("""COMPUTED_VALUE"""),"")</f>
        <v/>
      </c>
      <c r="I441" s="20" t="s">
        <v>170</v>
      </c>
    </row>
    <row r="442" ht="15.75" customHeight="1">
      <c r="H442" s="20" t="str">
        <f>IFERROR(__xludf.DUMMYFUNCTION("""COMPUTED_VALUE"""),"")</f>
        <v/>
      </c>
      <c r="I442" s="20" t="s">
        <v>170</v>
      </c>
    </row>
    <row r="443" ht="15.75" customHeight="1">
      <c r="H443" s="20" t="str">
        <f>IFERROR(__xludf.DUMMYFUNCTION("""COMPUTED_VALUE"""),"")</f>
        <v/>
      </c>
      <c r="I443" s="20" t="s">
        <v>170</v>
      </c>
    </row>
    <row r="444" ht="15.75" customHeight="1">
      <c r="H444" s="20" t="str">
        <f>IFERROR(__xludf.DUMMYFUNCTION("""COMPUTED_VALUE"""),"")</f>
        <v/>
      </c>
      <c r="I444" s="20" t="s">
        <v>170</v>
      </c>
    </row>
    <row r="445" ht="15.75" customHeight="1">
      <c r="H445" s="20" t="str">
        <f>IFERROR(__xludf.DUMMYFUNCTION("""COMPUTED_VALUE"""),"")</f>
        <v/>
      </c>
      <c r="I445" s="20" t="s">
        <v>170</v>
      </c>
    </row>
    <row r="446" ht="15.75" customHeight="1">
      <c r="H446" s="20" t="str">
        <f>IFERROR(__xludf.DUMMYFUNCTION("""COMPUTED_VALUE"""),"")</f>
        <v/>
      </c>
      <c r="I446" s="20" t="s">
        <v>170</v>
      </c>
    </row>
    <row r="447" ht="15.75" customHeight="1">
      <c r="H447" s="20" t="str">
        <f>IFERROR(__xludf.DUMMYFUNCTION("""COMPUTED_VALUE"""),"")</f>
        <v/>
      </c>
      <c r="I447" s="20" t="s">
        <v>170</v>
      </c>
    </row>
    <row r="448" ht="15.75" customHeight="1">
      <c r="H448" s="20" t="str">
        <f>IFERROR(__xludf.DUMMYFUNCTION("""COMPUTED_VALUE"""),"")</f>
        <v/>
      </c>
      <c r="I448" s="20" t="s">
        <v>170</v>
      </c>
    </row>
    <row r="449" ht="15.75" customHeight="1">
      <c r="H449" s="20" t="str">
        <f>IFERROR(__xludf.DUMMYFUNCTION("""COMPUTED_VALUE"""),"")</f>
        <v/>
      </c>
      <c r="I449" s="20" t="s">
        <v>170</v>
      </c>
    </row>
    <row r="450" ht="15.75" customHeight="1">
      <c r="H450" s="20" t="str">
        <f>IFERROR(__xludf.DUMMYFUNCTION("""COMPUTED_VALUE"""),"")</f>
        <v/>
      </c>
      <c r="I450" s="20" t="s">
        <v>170</v>
      </c>
    </row>
    <row r="451" ht="15.75" customHeight="1">
      <c r="H451" s="20" t="str">
        <f>IFERROR(__xludf.DUMMYFUNCTION("""COMPUTED_VALUE"""),"")</f>
        <v/>
      </c>
      <c r="I451" s="20" t="s">
        <v>170</v>
      </c>
    </row>
    <row r="452" ht="15.75" customHeight="1">
      <c r="H452" s="20" t="str">
        <f>IFERROR(__xludf.DUMMYFUNCTION("""COMPUTED_VALUE"""),"")</f>
        <v/>
      </c>
      <c r="I452" s="20" t="s">
        <v>170</v>
      </c>
    </row>
    <row r="453" ht="15.75" customHeight="1">
      <c r="H453" s="20" t="str">
        <f>IFERROR(__xludf.DUMMYFUNCTION("""COMPUTED_VALUE"""),"")</f>
        <v/>
      </c>
      <c r="I453" s="20" t="s">
        <v>170</v>
      </c>
    </row>
    <row r="454" ht="15.75" customHeight="1">
      <c r="H454" s="20" t="str">
        <f>IFERROR(__xludf.DUMMYFUNCTION("""COMPUTED_VALUE"""),"")</f>
        <v/>
      </c>
      <c r="I454" s="20" t="s">
        <v>170</v>
      </c>
    </row>
    <row r="455" ht="15.75" customHeight="1">
      <c r="H455" s="20" t="str">
        <f>IFERROR(__xludf.DUMMYFUNCTION("""COMPUTED_VALUE"""),"")</f>
        <v/>
      </c>
      <c r="I455" s="20" t="s">
        <v>170</v>
      </c>
    </row>
    <row r="456" ht="15.75" customHeight="1">
      <c r="H456" s="20" t="str">
        <f>IFERROR(__xludf.DUMMYFUNCTION("""COMPUTED_VALUE"""),"")</f>
        <v/>
      </c>
      <c r="I456" s="20" t="s">
        <v>170</v>
      </c>
    </row>
    <row r="457" ht="15.75" customHeight="1">
      <c r="H457" s="20" t="str">
        <f>IFERROR(__xludf.DUMMYFUNCTION("""COMPUTED_VALUE"""),"")</f>
        <v/>
      </c>
      <c r="I457" s="20" t="s">
        <v>170</v>
      </c>
    </row>
    <row r="458" ht="15.75" customHeight="1">
      <c r="H458" s="20" t="str">
        <f>IFERROR(__xludf.DUMMYFUNCTION("""COMPUTED_VALUE"""),"")</f>
        <v/>
      </c>
      <c r="I458" s="20" t="s">
        <v>170</v>
      </c>
    </row>
    <row r="459" ht="15.75" customHeight="1">
      <c r="H459" s="20" t="str">
        <f>IFERROR(__xludf.DUMMYFUNCTION("""COMPUTED_VALUE"""),"")</f>
        <v/>
      </c>
      <c r="I459" s="20" t="s">
        <v>170</v>
      </c>
    </row>
    <row r="460" ht="15.75" customHeight="1">
      <c r="H460" s="20" t="str">
        <f>IFERROR(__xludf.DUMMYFUNCTION("""COMPUTED_VALUE"""),"")</f>
        <v/>
      </c>
      <c r="I460" s="20" t="s">
        <v>170</v>
      </c>
    </row>
    <row r="461" ht="15.75" customHeight="1">
      <c r="H461" s="20" t="str">
        <f>IFERROR(__xludf.DUMMYFUNCTION("""COMPUTED_VALUE"""),"")</f>
        <v/>
      </c>
      <c r="I461" s="20" t="s">
        <v>170</v>
      </c>
    </row>
    <row r="462" ht="15.75" customHeight="1">
      <c r="H462" s="20" t="str">
        <f>IFERROR(__xludf.DUMMYFUNCTION("""COMPUTED_VALUE"""),"")</f>
        <v/>
      </c>
      <c r="I462" s="20" t="s">
        <v>170</v>
      </c>
    </row>
    <row r="463" ht="15.75" customHeight="1">
      <c r="H463" s="20" t="str">
        <f>IFERROR(__xludf.DUMMYFUNCTION("""COMPUTED_VALUE"""),"")</f>
        <v/>
      </c>
      <c r="I463" s="20" t="s">
        <v>170</v>
      </c>
    </row>
    <row r="464" ht="15.75" customHeight="1">
      <c r="H464" s="20" t="str">
        <f>IFERROR(__xludf.DUMMYFUNCTION("""COMPUTED_VALUE"""),"")</f>
        <v/>
      </c>
      <c r="I464" s="20" t="s">
        <v>170</v>
      </c>
    </row>
    <row r="465" ht="15.75" customHeight="1">
      <c r="H465" s="20" t="str">
        <f>IFERROR(__xludf.DUMMYFUNCTION("""COMPUTED_VALUE"""),"")</f>
        <v/>
      </c>
      <c r="I465" s="20" t="s">
        <v>170</v>
      </c>
    </row>
    <row r="466" ht="15.75" customHeight="1">
      <c r="H466" s="20" t="str">
        <f>IFERROR(__xludf.DUMMYFUNCTION("""COMPUTED_VALUE"""),"")</f>
        <v/>
      </c>
      <c r="I466" s="20" t="s">
        <v>170</v>
      </c>
    </row>
    <row r="467" ht="15.75" customHeight="1">
      <c r="H467" s="20" t="str">
        <f>IFERROR(__xludf.DUMMYFUNCTION("""COMPUTED_VALUE"""),"")</f>
        <v/>
      </c>
      <c r="I467" s="20" t="s">
        <v>170</v>
      </c>
    </row>
    <row r="468" ht="15.75" customHeight="1">
      <c r="H468" s="20" t="str">
        <f>IFERROR(__xludf.DUMMYFUNCTION("""COMPUTED_VALUE"""),"")</f>
        <v/>
      </c>
      <c r="I468" s="20" t="s">
        <v>170</v>
      </c>
    </row>
    <row r="469" ht="15.75" customHeight="1">
      <c r="H469" s="20" t="str">
        <f>IFERROR(__xludf.DUMMYFUNCTION("""COMPUTED_VALUE"""),"")</f>
        <v/>
      </c>
      <c r="I469" s="20" t="s">
        <v>170</v>
      </c>
    </row>
    <row r="470" ht="15.75" customHeight="1">
      <c r="H470" s="20" t="str">
        <f>IFERROR(__xludf.DUMMYFUNCTION("""COMPUTED_VALUE"""),"")</f>
        <v/>
      </c>
      <c r="I470" s="20" t="s">
        <v>170</v>
      </c>
    </row>
    <row r="471" ht="15.75" customHeight="1">
      <c r="H471" s="20" t="str">
        <f>IFERROR(__xludf.DUMMYFUNCTION("""COMPUTED_VALUE"""),"")</f>
        <v/>
      </c>
      <c r="I471" s="20" t="s">
        <v>170</v>
      </c>
    </row>
    <row r="472" ht="15.75" customHeight="1">
      <c r="H472" s="20" t="str">
        <f>IFERROR(__xludf.DUMMYFUNCTION("""COMPUTED_VALUE"""),"")</f>
        <v/>
      </c>
      <c r="I472" s="20" t="s">
        <v>170</v>
      </c>
    </row>
    <row r="473" ht="15.75" customHeight="1">
      <c r="H473" s="20" t="str">
        <f>IFERROR(__xludf.DUMMYFUNCTION("""COMPUTED_VALUE"""),"")</f>
        <v/>
      </c>
      <c r="I473" s="20" t="s">
        <v>170</v>
      </c>
    </row>
    <row r="474" ht="15.75" customHeight="1">
      <c r="H474" s="20" t="str">
        <f>IFERROR(__xludf.DUMMYFUNCTION("""COMPUTED_VALUE"""),"")</f>
        <v/>
      </c>
      <c r="I474" s="20" t="s">
        <v>170</v>
      </c>
    </row>
    <row r="475" ht="15.75" customHeight="1">
      <c r="H475" s="20" t="str">
        <f>IFERROR(__xludf.DUMMYFUNCTION("""COMPUTED_VALUE"""),"")</f>
        <v/>
      </c>
      <c r="I475" s="20" t="s">
        <v>170</v>
      </c>
    </row>
    <row r="476" ht="15.75" customHeight="1">
      <c r="H476" s="20" t="str">
        <f>IFERROR(__xludf.DUMMYFUNCTION("""COMPUTED_VALUE"""),"")</f>
        <v/>
      </c>
      <c r="I476" s="20" t="s">
        <v>170</v>
      </c>
    </row>
    <row r="477" ht="15.75" customHeight="1">
      <c r="H477" s="20" t="str">
        <f>IFERROR(__xludf.DUMMYFUNCTION("""COMPUTED_VALUE"""),"")</f>
        <v/>
      </c>
      <c r="I477" s="20" t="s">
        <v>170</v>
      </c>
    </row>
    <row r="478" ht="15.75" customHeight="1">
      <c r="H478" s="20" t="str">
        <f>IFERROR(__xludf.DUMMYFUNCTION("""COMPUTED_VALUE"""),"")</f>
        <v/>
      </c>
      <c r="I478" s="20" t="s">
        <v>170</v>
      </c>
    </row>
    <row r="479" ht="15.75" customHeight="1">
      <c r="H479" s="20" t="str">
        <f>IFERROR(__xludf.DUMMYFUNCTION("""COMPUTED_VALUE"""),"")</f>
        <v/>
      </c>
      <c r="I479" s="20" t="s">
        <v>170</v>
      </c>
    </row>
    <row r="480" ht="15.75" customHeight="1">
      <c r="H480" s="20" t="str">
        <f>IFERROR(__xludf.DUMMYFUNCTION("""COMPUTED_VALUE"""),"")</f>
        <v/>
      </c>
      <c r="I480" s="20" t="s">
        <v>170</v>
      </c>
    </row>
    <row r="481" ht="15.75" customHeight="1">
      <c r="H481" s="20" t="str">
        <f>IFERROR(__xludf.DUMMYFUNCTION("""COMPUTED_VALUE"""),"")</f>
        <v/>
      </c>
      <c r="I481" s="20" t="s">
        <v>170</v>
      </c>
    </row>
    <row r="482" ht="15.75" customHeight="1">
      <c r="H482" s="20" t="str">
        <f>IFERROR(__xludf.DUMMYFUNCTION("""COMPUTED_VALUE"""),"")</f>
        <v/>
      </c>
      <c r="I482" s="20" t="s">
        <v>170</v>
      </c>
    </row>
    <row r="483" ht="15.75" customHeight="1">
      <c r="H483" s="20" t="str">
        <f>IFERROR(__xludf.DUMMYFUNCTION("""COMPUTED_VALUE"""),"")</f>
        <v/>
      </c>
      <c r="I483" s="20" t="s">
        <v>170</v>
      </c>
    </row>
    <row r="484" ht="15.75" customHeight="1">
      <c r="H484" s="20" t="str">
        <f>IFERROR(__xludf.DUMMYFUNCTION("""COMPUTED_VALUE"""),"")</f>
        <v/>
      </c>
      <c r="I484" s="20" t="s">
        <v>170</v>
      </c>
    </row>
    <row r="485" ht="15.75" customHeight="1">
      <c r="H485" s="20" t="str">
        <f>IFERROR(__xludf.DUMMYFUNCTION("""COMPUTED_VALUE"""),"")</f>
        <v/>
      </c>
      <c r="I485" s="20" t="s">
        <v>170</v>
      </c>
    </row>
    <row r="486" ht="15.75" customHeight="1">
      <c r="H486" s="20" t="str">
        <f>IFERROR(__xludf.DUMMYFUNCTION("""COMPUTED_VALUE"""),"")</f>
        <v/>
      </c>
      <c r="I486" s="20" t="s">
        <v>170</v>
      </c>
    </row>
    <row r="487" ht="15.75" customHeight="1">
      <c r="H487" s="20" t="str">
        <f>IFERROR(__xludf.DUMMYFUNCTION("""COMPUTED_VALUE"""),"")</f>
        <v/>
      </c>
      <c r="I487" s="20" t="s">
        <v>170</v>
      </c>
    </row>
    <row r="488" ht="15.75" customHeight="1">
      <c r="H488" s="20" t="str">
        <f>IFERROR(__xludf.DUMMYFUNCTION("""COMPUTED_VALUE"""),"")</f>
        <v/>
      </c>
      <c r="I488" s="20" t="s">
        <v>170</v>
      </c>
    </row>
    <row r="489" ht="15.75" customHeight="1">
      <c r="H489" s="20" t="str">
        <f>IFERROR(__xludf.DUMMYFUNCTION("""COMPUTED_VALUE"""),"")</f>
        <v/>
      </c>
      <c r="I489" s="20" t="s">
        <v>170</v>
      </c>
    </row>
    <row r="490" ht="15.75" customHeight="1">
      <c r="H490" s="20" t="str">
        <f>IFERROR(__xludf.DUMMYFUNCTION("""COMPUTED_VALUE"""),"")</f>
        <v/>
      </c>
      <c r="I490" s="20" t="s">
        <v>170</v>
      </c>
    </row>
    <row r="491" ht="15.75" customHeight="1">
      <c r="H491" s="20" t="str">
        <f>IFERROR(__xludf.DUMMYFUNCTION("""COMPUTED_VALUE"""),"")</f>
        <v/>
      </c>
      <c r="I491" s="20" t="s">
        <v>170</v>
      </c>
    </row>
    <row r="492" ht="15.75" customHeight="1">
      <c r="H492" s="20" t="str">
        <f>IFERROR(__xludf.DUMMYFUNCTION("""COMPUTED_VALUE"""),"")</f>
        <v/>
      </c>
      <c r="I492" s="20" t="s">
        <v>170</v>
      </c>
    </row>
    <row r="493" ht="15.75" customHeight="1">
      <c r="H493" s="20" t="str">
        <f>IFERROR(__xludf.DUMMYFUNCTION("""COMPUTED_VALUE"""),"")</f>
        <v/>
      </c>
      <c r="I493" s="20" t="s">
        <v>170</v>
      </c>
    </row>
    <row r="494" ht="15.75" customHeight="1">
      <c r="H494" s="20" t="str">
        <f>IFERROR(__xludf.DUMMYFUNCTION("""COMPUTED_VALUE"""),"")</f>
        <v/>
      </c>
      <c r="I494" s="20" t="s">
        <v>170</v>
      </c>
    </row>
    <row r="495" ht="15.75" customHeight="1">
      <c r="H495" s="20" t="str">
        <f>IFERROR(__xludf.DUMMYFUNCTION("""COMPUTED_VALUE"""),"")</f>
        <v/>
      </c>
      <c r="I495" s="20" t="s">
        <v>170</v>
      </c>
    </row>
    <row r="496" ht="15.75" customHeight="1">
      <c r="H496" s="20" t="str">
        <f>IFERROR(__xludf.DUMMYFUNCTION("""COMPUTED_VALUE"""),"")</f>
        <v/>
      </c>
      <c r="I496" s="20" t="s">
        <v>170</v>
      </c>
    </row>
    <row r="497" ht="15.75" customHeight="1">
      <c r="H497" s="20" t="str">
        <f>IFERROR(__xludf.DUMMYFUNCTION("""COMPUTED_VALUE"""),"")</f>
        <v/>
      </c>
      <c r="I497" s="20" t="s">
        <v>170</v>
      </c>
    </row>
    <row r="498" ht="15.75" customHeight="1">
      <c r="H498" s="20" t="str">
        <f>IFERROR(__xludf.DUMMYFUNCTION("""COMPUTED_VALUE"""),"")</f>
        <v/>
      </c>
      <c r="I498" s="20" t="s">
        <v>170</v>
      </c>
    </row>
    <row r="499" ht="15.75" customHeight="1">
      <c r="H499" s="20" t="str">
        <f>IFERROR(__xludf.DUMMYFUNCTION("""COMPUTED_VALUE"""),"")</f>
        <v/>
      </c>
      <c r="I499" s="20" t="s">
        <v>170</v>
      </c>
    </row>
    <row r="500" ht="15.75" customHeight="1">
      <c r="H500" s="20" t="str">
        <f>IFERROR(__xludf.DUMMYFUNCTION("""COMPUTED_VALUE"""),"")</f>
        <v/>
      </c>
      <c r="I500" s="20" t="s">
        <v>170</v>
      </c>
    </row>
    <row r="501" ht="15.75" customHeight="1">
      <c r="H501" s="20" t="str">
        <f>IFERROR(__xludf.DUMMYFUNCTION("""COMPUTED_VALUE"""),"")</f>
        <v/>
      </c>
      <c r="I501" s="20" t="s">
        <v>170</v>
      </c>
    </row>
    <row r="502" ht="15.75" customHeight="1">
      <c r="H502" s="20" t="str">
        <f>IFERROR(__xludf.DUMMYFUNCTION("""COMPUTED_VALUE"""),"")</f>
        <v/>
      </c>
      <c r="I502" s="20" t="s">
        <v>170</v>
      </c>
    </row>
    <row r="503" ht="15.75" customHeight="1">
      <c r="H503" s="20" t="str">
        <f>IFERROR(__xludf.DUMMYFUNCTION("""COMPUTED_VALUE"""),"")</f>
        <v/>
      </c>
      <c r="I503" s="20" t="s">
        <v>170</v>
      </c>
    </row>
    <row r="504" ht="15.75" customHeight="1">
      <c r="H504" s="20" t="str">
        <f>IFERROR(__xludf.DUMMYFUNCTION("""COMPUTED_VALUE"""),"")</f>
        <v/>
      </c>
      <c r="I504" s="20" t="s">
        <v>170</v>
      </c>
    </row>
    <row r="505" ht="15.75" customHeight="1">
      <c r="H505" s="20" t="str">
        <f>IFERROR(__xludf.DUMMYFUNCTION("""COMPUTED_VALUE"""),"")</f>
        <v/>
      </c>
      <c r="I505" s="20" t="s">
        <v>170</v>
      </c>
    </row>
    <row r="506" ht="15.75" customHeight="1">
      <c r="H506" s="20" t="str">
        <f>IFERROR(__xludf.DUMMYFUNCTION("""COMPUTED_VALUE"""),"")</f>
        <v/>
      </c>
      <c r="I506" s="20" t="s">
        <v>170</v>
      </c>
    </row>
    <row r="507" ht="15.75" customHeight="1">
      <c r="H507" s="20" t="str">
        <f>IFERROR(__xludf.DUMMYFUNCTION("""COMPUTED_VALUE"""),"")</f>
        <v/>
      </c>
      <c r="I507" s="20" t="s">
        <v>170</v>
      </c>
    </row>
    <row r="508" ht="15.75" customHeight="1">
      <c r="H508" s="20" t="str">
        <f>IFERROR(__xludf.DUMMYFUNCTION("""COMPUTED_VALUE"""),"")</f>
        <v/>
      </c>
      <c r="I508" s="20" t="s">
        <v>170</v>
      </c>
    </row>
    <row r="509" ht="15.75" customHeight="1">
      <c r="H509" s="20" t="str">
        <f>IFERROR(__xludf.DUMMYFUNCTION("""COMPUTED_VALUE"""),"")</f>
        <v/>
      </c>
      <c r="I509" s="20" t="s">
        <v>170</v>
      </c>
    </row>
    <row r="510" ht="15.75" customHeight="1">
      <c r="H510" s="20" t="str">
        <f>IFERROR(__xludf.DUMMYFUNCTION("""COMPUTED_VALUE"""),"")</f>
        <v/>
      </c>
      <c r="I510" s="20" t="s">
        <v>170</v>
      </c>
    </row>
    <row r="511" ht="15.75" customHeight="1">
      <c r="H511" s="20" t="str">
        <f>IFERROR(__xludf.DUMMYFUNCTION("""COMPUTED_VALUE"""),"")</f>
        <v/>
      </c>
      <c r="I511" s="20" t="s">
        <v>170</v>
      </c>
    </row>
    <row r="512" ht="15.75" customHeight="1">
      <c r="H512" s="20" t="str">
        <f>IFERROR(__xludf.DUMMYFUNCTION("""COMPUTED_VALUE"""),"")</f>
        <v/>
      </c>
      <c r="I512" s="20" t="s">
        <v>170</v>
      </c>
    </row>
    <row r="513" ht="15.75" customHeight="1">
      <c r="H513" s="20" t="str">
        <f>IFERROR(__xludf.DUMMYFUNCTION("""COMPUTED_VALUE"""),"")</f>
        <v/>
      </c>
      <c r="I513" s="20" t="s">
        <v>170</v>
      </c>
    </row>
    <row r="514" ht="15.75" customHeight="1">
      <c r="H514" s="20" t="str">
        <f>IFERROR(__xludf.DUMMYFUNCTION("""COMPUTED_VALUE"""),"")</f>
        <v/>
      </c>
      <c r="I514" s="20" t="s">
        <v>170</v>
      </c>
    </row>
    <row r="515" ht="15.75" customHeight="1">
      <c r="H515" s="20" t="str">
        <f>IFERROR(__xludf.DUMMYFUNCTION("""COMPUTED_VALUE"""),"")</f>
        <v/>
      </c>
      <c r="I515" s="20" t="s">
        <v>170</v>
      </c>
    </row>
    <row r="516" ht="15.75" customHeight="1">
      <c r="H516" s="20" t="str">
        <f>IFERROR(__xludf.DUMMYFUNCTION("""COMPUTED_VALUE"""),"")</f>
        <v/>
      </c>
      <c r="I516" s="20" t="s">
        <v>170</v>
      </c>
    </row>
    <row r="517" ht="15.75" customHeight="1">
      <c r="H517" s="20" t="str">
        <f>IFERROR(__xludf.DUMMYFUNCTION("""COMPUTED_VALUE"""),"")</f>
        <v/>
      </c>
      <c r="I517" s="20" t="s">
        <v>170</v>
      </c>
    </row>
    <row r="518" ht="15.75" customHeight="1">
      <c r="H518" s="20" t="str">
        <f>IFERROR(__xludf.DUMMYFUNCTION("""COMPUTED_VALUE"""),"")</f>
        <v/>
      </c>
      <c r="I518" s="20" t="s">
        <v>170</v>
      </c>
    </row>
    <row r="519" ht="15.75" customHeight="1">
      <c r="H519" s="20" t="str">
        <f>IFERROR(__xludf.DUMMYFUNCTION("""COMPUTED_VALUE"""),"")</f>
        <v/>
      </c>
      <c r="I519" s="20" t="s">
        <v>170</v>
      </c>
    </row>
    <row r="520" ht="15.75" customHeight="1">
      <c r="H520" s="20" t="str">
        <f>IFERROR(__xludf.DUMMYFUNCTION("""COMPUTED_VALUE"""),"")</f>
        <v/>
      </c>
      <c r="I520" s="20" t="s">
        <v>170</v>
      </c>
    </row>
    <row r="521" ht="15.75" customHeight="1">
      <c r="H521" s="20" t="str">
        <f>IFERROR(__xludf.DUMMYFUNCTION("""COMPUTED_VALUE"""),"")</f>
        <v/>
      </c>
      <c r="I521" s="20" t="s">
        <v>170</v>
      </c>
    </row>
    <row r="522" ht="15.75" customHeight="1">
      <c r="H522" s="20" t="str">
        <f>IFERROR(__xludf.DUMMYFUNCTION("""COMPUTED_VALUE"""),"")</f>
        <v/>
      </c>
      <c r="I522" s="20" t="s">
        <v>170</v>
      </c>
    </row>
    <row r="523" ht="15.75" customHeight="1">
      <c r="H523" s="20" t="str">
        <f>IFERROR(__xludf.DUMMYFUNCTION("""COMPUTED_VALUE"""),"")</f>
        <v/>
      </c>
      <c r="I523" s="20" t="s">
        <v>170</v>
      </c>
    </row>
    <row r="524" ht="15.75" customHeight="1">
      <c r="H524" s="20" t="str">
        <f>IFERROR(__xludf.DUMMYFUNCTION("""COMPUTED_VALUE"""),"")</f>
        <v/>
      </c>
      <c r="I524" s="20" t="s">
        <v>170</v>
      </c>
    </row>
    <row r="525" ht="15.75" customHeight="1">
      <c r="H525" s="20" t="str">
        <f>IFERROR(__xludf.DUMMYFUNCTION("""COMPUTED_VALUE"""),"")</f>
        <v/>
      </c>
      <c r="I525" s="20" t="s">
        <v>170</v>
      </c>
    </row>
    <row r="526" ht="15.75" customHeight="1">
      <c r="H526" s="20" t="str">
        <f>IFERROR(__xludf.DUMMYFUNCTION("""COMPUTED_VALUE"""),"")</f>
        <v/>
      </c>
      <c r="I526" s="20" t="s">
        <v>170</v>
      </c>
    </row>
    <row r="527" ht="15.75" customHeight="1">
      <c r="H527" s="20" t="str">
        <f>IFERROR(__xludf.DUMMYFUNCTION("""COMPUTED_VALUE"""),"")</f>
        <v/>
      </c>
      <c r="I527" s="20" t="s">
        <v>170</v>
      </c>
    </row>
    <row r="528" ht="15.75" customHeight="1">
      <c r="H528" s="20" t="str">
        <f>IFERROR(__xludf.DUMMYFUNCTION("""COMPUTED_VALUE"""),"")</f>
        <v/>
      </c>
      <c r="I528" s="20" t="s">
        <v>170</v>
      </c>
    </row>
    <row r="529" ht="15.75" customHeight="1">
      <c r="H529" s="20" t="str">
        <f>IFERROR(__xludf.DUMMYFUNCTION("""COMPUTED_VALUE"""),"")</f>
        <v/>
      </c>
      <c r="I529" s="20" t="s">
        <v>170</v>
      </c>
    </row>
    <row r="530" ht="15.75" customHeight="1">
      <c r="H530" s="20" t="str">
        <f>IFERROR(__xludf.DUMMYFUNCTION("""COMPUTED_VALUE"""),"")</f>
        <v/>
      </c>
      <c r="I530" s="20" t="s">
        <v>170</v>
      </c>
    </row>
    <row r="531" ht="15.75" customHeight="1">
      <c r="H531" s="20" t="str">
        <f>IFERROR(__xludf.DUMMYFUNCTION("""COMPUTED_VALUE"""),"")</f>
        <v/>
      </c>
      <c r="I531" s="20" t="s">
        <v>170</v>
      </c>
    </row>
    <row r="532" ht="15.75" customHeight="1">
      <c r="H532" s="20" t="str">
        <f>IFERROR(__xludf.DUMMYFUNCTION("""COMPUTED_VALUE"""),"")</f>
        <v/>
      </c>
      <c r="I532" s="20" t="s">
        <v>170</v>
      </c>
    </row>
    <row r="533" ht="15.75" customHeight="1">
      <c r="H533" s="20" t="str">
        <f>IFERROR(__xludf.DUMMYFUNCTION("""COMPUTED_VALUE"""),"")</f>
        <v/>
      </c>
      <c r="I533" s="20" t="s">
        <v>170</v>
      </c>
    </row>
    <row r="534" ht="15.75" customHeight="1">
      <c r="H534" s="20" t="str">
        <f>IFERROR(__xludf.DUMMYFUNCTION("""COMPUTED_VALUE"""),"")</f>
        <v/>
      </c>
      <c r="I534" s="20" t="s">
        <v>170</v>
      </c>
    </row>
    <row r="535" ht="15.75" customHeight="1">
      <c r="H535" s="20" t="str">
        <f>IFERROR(__xludf.DUMMYFUNCTION("""COMPUTED_VALUE"""),"")</f>
        <v/>
      </c>
      <c r="I535" s="20" t="s">
        <v>170</v>
      </c>
    </row>
    <row r="536" ht="15.75" customHeight="1">
      <c r="H536" s="20" t="str">
        <f>IFERROR(__xludf.DUMMYFUNCTION("""COMPUTED_VALUE"""),"")</f>
        <v/>
      </c>
      <c r="I536" s="20" t="s">
        <v>170</v>
      </c>
    </row>
    <row r="537" ht="15.75" customHeight="1">
      <c r="H537" s="20" t="str">
        <f>IFERROR(__xludf.DUMMYFUNCTION("""COMPUTED_VALUE"""),"")</f>
        <v/>
      </c>
      <c r="I537" s="20" t="s">
        <v>170</v>
      </c>
    </row>
    <row r="538" ht="15.75" customHeight="1">
      <c r="H538" s="20" t="str">
        <f>IFERROR(__xludf.DUMMYFUNCTION("""COMPUTED_VALUE"""),"")</f>
        <v/>
      </c>
      <c r="I538" s="20" t="s">
        <v>170</v>
      </c>
    </row>
    <row r="539" ht="15.75" customHeight="1">
      <c r="H539" s="20" t="str">
        <f>IFERROR(__xludf.DUMMYFUNCTION("""COMPUTED_VALUE"""),"")</f>
        <v/>
      </c>
      <c r="I539" s="20" t="s">
        <v>170</v>
      </c>
    </row>
    <row r="540" ht="15.75" customHeight="1">
      <c r="H540" s="20" t="str">
        <f>IFERROR(__xludf.DUMMYFUNCTION("""COMPUTED_VALUE"""),"")</f>
        <v/>
      </c>
      <c r="I540" s="20" t="s">
        <v>170</v>
      </c>
    </row>
    <row r="541" ht="15.75" customHeight="1">
      <c r="H541" s="20" t="str">
        <f>IFERROR(__xludf.DUMMYFUNCTION("""COMPUTED_VALUE"""),"")</f>
        <v/>
      </c>
      <c r="I541" s="20" t="s">
        <v>170</v>
      </c>
    </row>
    <row r="542" ht="15.75" customHeight="1">
      <c r="H542" s="20" t="str">
        <f>IFERROR(__xludf.DUMMYFUNCTION("""COMPUTED_VALUE"""),"")</f>
        <v/>
      </c>
      <c r="I542" s="20" t="s">
        <v>170</v>
      </c>
    </row>
    <row r="543" ht="15.75" customHeight="1">
      <c r="H543" s="20" t="str">
        <f>IFERROR(__xludf.DUMMYFUNCTION("""COMPUTED_VALUE"""),"")</f>
        <v/>
      </c>
      <c r="I543" s="20" t="s">
        <v>170</v>
      </c>
    </row>
    <row r="544" ht="15.75" customHeight="1">
      <c r="H544" s="20" t="str">
        <f>IFERROR(__xludf.DUMMYFUNCTION("""COMPUTED_VALUE"""),"")</f>
        <v/>
      </c>
      <c r="I544" s="20" t="s">
        <v>170</v>
      </c>
    </row>
    <row r="545" ht="15.75" customHeight="1">
      <c r="H545" s="20" t="str">
        <f>IFERROR(__xludf.DUMMYFUNCTION("""COMPUTED_VALUE"""),"")</f>
        <v/>
      </c>
      <c r="I545" s="20" t="s">
        <v>170</v>
      </c>
    </row>
    <row r="546" ht="15.75" customHeight="1">
      <c r="H546" s="20" t="str">
        <f>IFERROR(__xludf.DUMMYFUNCTION("""COMPUTED_VALUE"""),"")</f>
        <v/>
      </c>
      <c r="I546" s="20" t="s">
        <v>170</v>
      </c>
    </row>
    <row r="547" ht="15.75" customHeight="1">
      <c r="H547" s="20" t="str">
        <f>IFERROR(__xludf.DUMMYFUNCTION("""COMPUTED_VALUE"""),"")</f>
        <v/>
      </c>
      <c r="I547" s="20" t="s">
        <v>170</v>
      </c>
    </row>
    <row r="548" ht="15.75" customHeight="1">
      <c r="H548" s="20" t="str">
        <f>IFERROR(__xludf.DUMMYFUNCTION("""COMPUTED_VALUE"""),"")</f>
        <v/>
      </c>
      <c r="I548" s="20" t="s">
        <v>170</v>
      </c>
    </row>
    <row r="549" ht="15.75" customHeight="1">
      <c r="H549" s="20" t="str">
        <f>IFERROR(__xludf.DUMMYFUNCTION("""COMPUTED_VALUE"""),"")</f>
        <v/>
      </c>
      <c r="I549" s="20" t="s">
        <v>170</v>
      </c>
    </row>
    <row r="550" ht="15.75" customHeight="1">
      <c r="H550" s="20" t="str">
        <f>IFERROR(__xludf.DUMMYFUNCTION("""COMPUTED_VALUE"""),"")</f>
        <v/>
      </c>
      <c r="I550" s="20" t="s">
        <v>170</v>
      </c>
    </row>
    <row r="551" ht="15.75" customHeight="1">
      <c r="H551" s="20" t="str">
        <f>IFERROR(__xludf.DUMMYFUNCTION("""COMPUTED_VALUE"""),"")</f>
        <v/>
      </c>
      <c r="I551" s="20" t="s">
        <v>170</v>
      </c>
    </row>
    <row r="552" ht="15.75" customHeight="1">
      <c r="H552" s="20" t="str">
        <f>IFERROR(__xludf.DUMMYFUNCTION("""COMPUTED_VALUE"""),"")</f>
        <v/>
      </c>
      <c r="I552" s="20" t="s">
        <v>170</v>
      </c>
    </row>
    <row r="553" ht="15.75" customHeight="1">
      <c r="H553" s="20" t="str">
        <f>IFERROR(__xludf.DUMMYFUNCTION("""COMPUTED_VALUE"""),"")</f>
        <v/>
      </c>
      <c r="I553" s="20" t="s">
        <v>170</v>
      </c>
    </row>
    <row r="554" ht="15.75" customHeight="1">
      <c r="H554" s="20" t="str">
        <f>IFERROR(__xludf.DUMMYFUNCTION("""COMPUTED_VALUE"""),"")</f>
        <v/>
      </c>
      <c r="I554" s="20" t="s">
        <v>170</v>
      </c>
    </row>
    <row r="555" ht="15.75" customHeight="1">
      <c r="H555" s="20" t="str">
        <f>IFERROR(__xludf.DUMMYFUNCTION("""COMPUTED_VALUE"""),"")</f>
        <v/>
      </c>
      <c r="I555" s="20" t="s">
        <v>170</v>
      </c>
    </row>
    <row r="556" ht="15.75" customHeight="1">
      <c r="H556" s="20" t="str">
        <f>IFERROR(__xludf.DUMMYFUNCTION("""COMPUTED_VALUE"""),"")</f>
        <v/>
      </c>
      <c r="I556" s="20" t="s">
        <v>170</v>
      </c>
    </row>
    <row r="557" ht="15.75" customHeight="1">
      <c r="H557" s="20" t="str">
        <f>IFERROR(__xludf.DUMMYFUNCTION("""COMPUTED_VALUE"""),"")</f>
        <v/>
      </c>
      <c r="I557" s="20" t="s">
        <v>170</v>
      </c>
    </row>
    <row r="558" ht="15.75" customHeight="1">
      <c r="H558" s="20" t="str">
        <f>IFERROR(__xludf.DUMMYFUNCTION("""COMPUTED_VALUE"""),"")</f>
        <v/>
      </c>
      <c r="I558" s="20" t="s">
        <v>170</v>
      </c>
    </row>
    <row r="559" ht="15.75" customHeight="1">
      <c r="H559" s="20" t="str">
        <f>IFERROR(__xludf.DUMMYFUNCTION("""COMPUTED_VALUE"""),"")</f>
        <v/>
      </c>
      <c r="I559" s="20" t="s">
        <v>170</v>
      </c>
    </row>
    <row r="560" ht="15.75" customHeight="1">
      <c r="H560" s="20" t="str">
        <f>IFERROR(__xludf.DUMMYFUNCTION("""COMPUTED_VALUE"""),"")</f>
        <v/>
      </c>
      <c r="I560" s="20" t="s">
        <v>170</v>
      </c>
    </row>
    <row r="561" ht="15.75" customHeight="1">
      <c r="H561" s="20" t="str">
        <f>IFERROR(__xludf.DUMMYFUNCTION("""COMPUTED_VALUE"""),"")</f>
        <v/>
      </c>
      <c r="I561" s="20" t="s">
        <v>170</v>
      </c>
    </row>
    <row r="562" ht="15.75" customHeight="1">
      <c r="H562" s="20" t="str">
        <f>IFERROR(__xludf.DUMMYFUNCTION("""COMPUTED_VALUE"""),"")</f>
        <v/>
      </c>
      <c r="I562" s="20" t="s">
        <v>170</v>
      </c>
    </row>
    <row r="563" ht="15.75" customHeight="1">
      <c r="H563" s="20" t="str">
        <f>IFERROR(__xludf.DUMMYFUNCTION("""COMPUTED_VALUE"""),"")</f>
        <v/>
      </c>
      <c r="I563" s="20" t="s">
        <v>170</v>
      </c>
    </row>
    <row r="564" ht="15.75" customHeight="1">
      <c r="H564" s="20" t="str">
        <f>IFERROR(__xludf.DUMMYFUNCTION("""COMPUTED_VALUE"""),"")</f>
        <v/>
      </c>
      <c r="I564" s="20" t="s">
        <v>170</v>
      </c>
    </row>
    <row r="565" ht="15.75" customHeight="1">
      <c r="H565" s="20" t="str">
        <f>IFERROR(__xludf.DUMMYFUNCTION("""COMPUTED_VALUE"""),"")</f>
        <v/>
      </c>
      <c r="I565" s="20" t="s">
        <v>170</v>
      </c>
    </row>
    <row r="566" ht="15.75" customHeight="1">
      <c r="H566" s="20" t="str">
        <f>IFERROR(__xludf.DUMMYFUNCTION("""COMPUTED_VALUE"""),"")</f>
        <v/>
      </c>
      <c r="I566" s="20" t="s">
        <v>170</v>
      </c>
    </row>
    <row r="567" ht="15.75" customHeight="1">
      <c r="H567" s="20" t="str">
        <f>IFERROR(__xludf.DUMMYFUNCTION("""COMPUTED_VALUE"""),"")</f>
        <v/>
      </c>
      <c r="I567" s="20" t="s">
        <v>170</v>
      </c>
    </row>
    <row r="568" ht="15.75" customHeight="1">
      <c r="H568" s="20" t="str">
        <f>IFERROR(__xludf.DUMMYFUNCTION("""COMPUTED_VALUE"""),"")</f>
        <v/>
      </c>
      <c r="I568" s="20" t="s">
        <v>170</v>
      </c>
    </row>
    <row r="569" ht="15.75" customHeight="1">
      <c r="H569" s="20" t="str">
        <f>IFERROR(__xludf.DUMMYFUNCTION("""COMPUTED_VALUE"""),"")</f>
        <v/>
      </c>
      <c r="I569" s="20" t="s">
        <v>170</v>
      </c>
    </row>
    <row r="570" ht="15.75" customHeight="1">
      <c r="H570" s="20" t="str">
        <f>IFERROR(__xludf.DUMMYFUNCTION("""COMPUTED_VALUE"""),"")</f>
        <v/>
      </c>
      <c r="I570" s="20" t="s">
        <v>170</v>
      </c>
    </row>
    <row r="571" ht="15.75" customHeight="1">
      <c r="H571" s="20" t="str">
        <f>IFERROR(__xludf.DUMMYFUNCTION("""COMPUTED_VALUE"""),"")</f>
        <v/>
      </c>
      <c r="I571" s="20" t="s">
        <v>170</v>
      </c>
    </row>
    <row r="572" ht="15.75" customHeight="1">
      <c r="H572" s="20" t="str">
        <f>IFERROR(__xludf.DUMMYFUNCTION("""COMPUTED_VALUE"""),"")</f>
        <v/>
      </c>
      <c r="I572" s="20" t="s">
        <v>170</v>
      </c>
    </row>
    <row r="573" ht="15.75" customHeight="1">
      <c r="H573" s="20" t="str">
        <f>IFERROR(__xludf.DUMMYFUNCTION("""COMPUTED_VALUE"""),"")</f>
        <v/>
      </c>
      <c r="I573" s="20" t="s">
        <v>170</v>
      </c>
    </row>
    <row r="574" ht="15.75" customHeight="1">
      <c r="H574" s="20" t="str">
        <f>IFERROR(__xludf.DUMMYFUNCTION("""COMPUTED_VALUE"""),"")</f>
        <v/>
      </c>
      <c r="I574" s="20" t="s">
        <v>170</v>
      </c>
    </row>
    <row r="575" ht="15.75" customHeight="1">
      <c r="H575" s="20" t="str">
        <f>IFERROR(__xludf.DUMMYFUNCTION("""COMPUTED_VALUE"""),"")</f>
        <v/>
      </c>
      <c r="I575" s="20" t="s">
        <v>170</v>
      </c>
    </row>
    <row r="576" ht="15.75" customHeight="1">
      <c r="H576" s="20" t="str">
        <f>IFERROR(__xludf.DUMMYFUNCTION("""COMPUTED_VALUE"""),"")</f>
        <v/>
      </c>
      <c r="I576" s="20" t="s">
        <v>170</v>
      </c>
    </row>
    <row r="577" ht="15.75" customHeight="1">
      <c r="H577" s="20" t="str">
        <f>IFERROR(__xludf.DUMMYFUNCTION("""COMPUTED_VALUE"""),"")</f>
        <v/>
      </c>
      <c r="I577" s="20" t="s">
        <v>170</v>
      </c>
    </row>
    <row r="578" ht="15.75" customHeight="1">
      <c r="H578" s="20" t="str">
        <f>IFERROR(__xludf.DUMMYFUNCTION("""COMPUTED_VALUE"""),"")</f>
        <v/>
      </c>
      <c r="I578" s="20" t="s">
        <v>170</v>
      </c>
    </row>
    <row r="579" ht="15.75" customHeight="1">
      <c r="H579" s="20" t="str">
        <f>IFERROR(__xludf.DUMMYFUNCTION("""COMPUTED_VALUE"""),"")</f>
        <v/>
      </c>
      <c r="I579" s="20" t="s">
        <v>170</v>
      </c>
    </row>
    <row r="580" ht="15.75" customHeight="1">
      <c r="H580" s="20" t="str">
        <f>IFERROR(__xludf.DUMMYFUNCTION("""COMPUTED_VALUE"""),"")</f>
        <v/>
      </c>
      <c r="I580" s="20" t="s">
        <v>170</v>
      </c>
    </row>
    <row r="581" ht="15.75" customHeight="1">
      <c r="H581" s="20" t="str">
        <f>IFERROR(__xludf.DUMMYFUNCTION("""COMPUTED_VALUE"""),"")</f>
        <v/>
      </c>
      <c r="I581" s="20" t="s">
        <v>170</v>
      </c>
    </row>
    <row r="582" ht="15.75" customHeight="1">
      <c r="H582" s="20" t="str">
        <f>IFERROR(__xludf.DUMMYFUNCTION("""COMPUTED_VALUE"""),"")</f>
        <v/>
      </c>
      <c r="I582" s="20" t="s">
        <v>170</v>
      </c>
    </row>
    <row r="583" ht="15.75" customHeight="1">
      <c r="H583" s="20" t="str">
        <f>IFERROR(__xludf.DUMMYFUNCTION("""COMPUTED_VALUE"""),"")</f>
        <v/>
      </c>
      <c r="I583" s="20" t="s">
        <v>170</v>
      </c>
    </row>
    <row r="584" ht="15.75" customHeight="1">
      <c r="H584" s="20" t="str">
        <f>IFERROR(__xludf.DUMMYFUNCTION("""COMPUTED_VALUE"""),"")</f>
        <v/>
      </c>
      <c r="I584" s="20" t="s">
        <v>170</v>
      </c>
    </row>
    <row r="585" ht="15.75" customHeight="1">
      <c r="H585" s="20" t="str">
        <f>IFERROR(__xludf.DUMMYFUNCTION("""COMPUTED_VALUE"""),"")</f>
        <v/>
      </c>
      <c r="I585" s="20" t="s">
        <v>170</v>
      </c>
    </row>
    <row r="586" ht="15.75" customHeight="1">
      <c r="H586" s="20" t="str">
        <f>IFERROR(__xludf.DUMMYFUNCTION("""COMPUTED_VALUE"""),"")</f>
        <v/>
      </c>
      <c r="I586" s="20" t="s">
        <v>170</v>
      </c>
    </row>
    <row r="587" ht="15.75" customHeight="1">
      <c r="H587" s="20" t="str">
        <f>IFERROR(__xludf.DUMMYFUNCTION("""COMPUTED_VALUE"""),"")</f>
        <v/>
      </c>
      <c r="I587" s="20" t="s">
        <v>170</v>
      </c>
    </row>
    <row r="588" ht="15.75" customHeight="1">
      <c r="H588" s="20" t="str">
        <f>IFERROR(__xludf.DUMMYFUNCTION("""COMPUTED_VALUE"""),"")</f>
        <v/>
      </c>
      <c r="I588" s="20" t="s">
        <v>170</v>
      </c>
    </row>
    <row r="589" ht="15.75" customHeight="1">
      <c r="H589" s="20" t="str">
        <f>IFERROR(__xludf.DUMMYFUNCTION("""COMPUTED_VALUE"""),"")</f>
        <v/>
      </c>
      <c r="I589" s="20" t="s">
        <v>170</v>
      </c>
    </row>
    <row r="590" ht="15.75" customHeight="1">
      <c r="H590" s="20" t="str">
        <f>IFERROR(__xludf.DUMMYFUNCTION("""COMPUTED_VALUE"""),"")</f>
        <v/>
      </c>
      <c r="I590" s="20" t="s">
        <v>170</v>
      </c>
    </row>
    <row r="591" ht="15.75" customHeight="1">
      <c r="H591" s="20" t="str">
        <f>IFERROR(__xludf.DUMMYFUNCTION("""COMPUTED_VALUE"""),"")</f>
        <v/>
      </c>
      <c r="I591" s="20" t="s">
        <v>170</v>
      </c>
    </row>
    <row r="592" ht="15.75" customHeight="1">
      <c r="H592" s="20" t="str">
        <f>IFERROR(__xludf.DUMMYFUNCTION("""COMPUTED_VALUE"""),"")</f>
        <v/>
      </c>
      <c r="I592" s="20" t="s">
        <v>170</v>
      </c>
    </row>
    <row r="593" ht="15.75" customHeight="1">
      <c r="H593" s="20" t="str">
        <f>IFERROR(__xludf.DUMMYFUNCTION("""COMPUTED_VALUE"""),"")</f>
        <v/>
      </c>
      <c r="I593" s="20" t="s">
        <v>170</v>
      </c>
    </row>
    <row r="594" ht="15.75" customHeight="1">
      <c r="H594" s="20" t="str">
        <f>IFERROR(__xludf.DUMMYFUNCTION("""COMPUTED_VALUE"""),"")</f>
        <v/>
      </c>
      <c r="I594" s="20" t="s">
        <v>170</v>
      </c>
    </row>
    <row r="595" ht="15.75" customHeight="1">
      <c r="H595" s="20" t="str">
        <f>IFERROR(__xludf.DUMMYFUNCTION("""COMPUTED_VALUE"""),"")</f>
        <v/>
      </c>
      <c r="I595" s="20" t="s">
        <v>170</v>
      </c>
    </row>
    <row r="596" ht="15.75" customHeight="1">
      <c r="H596" s="20" t="str">
        <f>IFERROR(__xludf.DUMMYFUNCTION("""COMPUTED_VALUE"""),"")</f>
        <v/>
      </c>
      <c r="I596" s="20" t="s">
        <v>170</v>
      </c>
    </row>
    <row r="597" ht="15.75" customHeight="1">
      <c r="H597" s="20" t="str">
        <f>IFERROR(__xludf.DUMMYFUNCTION("""COMPUTED_VALUE"""),"")</f>
        <v/>
      </c>
      <c r="I597" s="20" t="s">
        <v>170</v>
      </c>
    </row>
    <row r="598" ht="15.75" customHeight="1">
      <c r="H598" s="20" t="str">
        <f>IFERROR(__xludf.DUMMYFUNCTION("""COMPUTED_VALUE"""),"")</f>
        <v/>
      </c>
      <c r="I598" s="20" t="s">
        <v>170</v>
      </c>
    </row>
    <row r="599" ht="15.75" customHeight="1">
      <c r="H599" s="20" t="str">
        <f>IFERROR(__xludf.DUMMYFUNCTION("""COMPUTED_VALUE"""),"")</f>
        <v/>
      </c>
      <c r="I599" s="20" t="s">
        <v>170</v>
      </c>
    </row>
    <row r="600" ht="15.75" customHeight="1">
      <c r="H600" s="20" t="str">
        <f>IFERROR(__xludf.DUMMYFUNCTION("""COMPUTED_VALUE"""),"")</f>
        <v/>
      </c>
      <c r="I600" s="20" t="s">
        <v>170</v>
      </c>
    </row>
    <row r="601" ht="15.75" customHeight="1">
      <c r="H601" s="20" t="str">
        <f>IFERROR(__xludf.DUMMYFUNCTION("""COMPUTED_VALUE"""),"")</f>
        <v/>
      </c>
      <c r="I601" s="20" t="s">
        <v>170</v>
      </c>
    </row>
    <row r="602" ht="15.75" customHeight="1">
      <c r="H602" s="20" t="str">
        <f>IFERROR(__xludf.DUMMYFUNCTION("""COMPUTED_VALUE"""),"")</f>
        <v/>
      </c>
      <c r="I602" s="20" t="s">
        <v>170</v>
      </c>
    </row>
    <row r="603" ht="15.75" customHeight="1">
      <c r="H603" s="20" t="str">
        <f>IFERROR(__xludf.DUMMYFUNCTION("""COMPUTED_VALUE"""),"")</f>
        <v/>
      </c>
      <c r="I603" s="20" t="s">
        <v>170</v>
      </c>
    </row>
    <row r="604" ht="15.75" customHeight="1">
      <c r="H604" s="20" t="str">
        <f>IFERROR(__xludf.DUMMYFUNCTION("""COMPUTED_VALUE"""),"")</f>
        <v/>
      </c>
      <c r="I604" s="20" t="s">
        <v>170</v>
      </c>
    </row>
    <row r="605" ht="15.75" customHeight="1">
      <c r="H605" s="20" t="str">
        <f>IFERROR(__xludf.DUMMYFUNCTION("""COMPUTED_VALUE"""),"")</f>
        <v/>
      </c>
      <c r="I605" s="20" t="s">
        <v>170</v>
      </c>
    </row>
    <row r="606" ht="15.75" customHeight="1">
      <c r="H606" s="20" t="str">
        <f>IFERROR(__xludf.DUMMYFUNCTION("""COMPUTED_VALUE"""),"")</f>
        <v/>
      </c>
      <c r="I606" s="20" t="s">
        <v>170</v>
      </c>
    </row>
    <row r="607" ht="15.75" customHeight="1">
      <c r="H607" s="20" t="str">
        <f>IFERROR(__xludf.DUMMYFUNCTION("""COMPUTED_VALUE"""),"")</f>
        <v/>
      </c>
      <c r="I607" s="20" t="s">
        <v>170</v>
      </c>
    </row>
    <row r="608" ht="15.75" customHeight="1">
      <c r="H608" s="20" t="str">
        <f>IFERROR(__xludf.DUMMYFUNCTION("""COMPUTED_VALUE"""),"")</f>
        <v/>
      </c>
      <c r="I608" s="20" t="s">
        <v>170</v>
      </c>
    </row>
    <row r="609" ht="15.75" customHeight="1">
      <c r="H609" s="20" t="str">
        <f>IFERROR(__xludf.DUMMYFUNCTION("""COMPUTED_VALUE"""),"")</f>
        <v/>
      </c>
      <c r="I609" s="20" t="s">
        <v>170</v>
      </c>
    </row>
    <row r="610" ht="15.75" customHeight="1">
      <c r="H610" s="20" t="str">
        <f>IFERROR(__xludf.DUMMYFUNCTION("""COMPUTED_VALUE"""),"")</f>
        <v/>
      </c>
      <c r="I610" s="20" t="s">
        <v>170</v>
      </c>
    </row>
    <row r="611" ht="15.75" customHeight="1">
      <c r="H611" s="20" t="str">
        <f>IFERROR(__xludf.DUMMYFUNCTION("""COMPUTED_VALUE"""),"")</f>
        <v/>
      </c>
      <c r="I611" s="20" t="s">
        <v>170</v>
      </c>
    </row>
    <row r="612" ht="15.75" customHeight="1">
      <c r="H612" s="20" t="str">
        <f>IFERROR(__xludf.DUMMYFUNCTION("""COMPUTED_VALUE"""),"")</f>
        <v/>
      </c>
      <c r="I612" s="20" t="s">
        <v>170</v>
      </c>
    </row>
    <row r="613" ht="15.75" customHeight="1">
      <c r="H613" s="20" t="str">
        <f>IFERROR(__xludf.DUMMYFUNCTION("""COMPUTED_VALUE"""),"")</f>
        <v/>
      </c>
      <c r="I613" s="20" t="s">
        <v>170</v>
      </c>
    </row>
    <row r="614" ht="15.75" customHeight="1">
      <c r="H614" s="20" t="str">
        <f>IFERROR(__xludf.DUMMYFUNCTION("""COMPUTED_VALUE"""),"")</f>
        <v/>
      </c>
      <c r="I614" s="20" t="s">
        <v>170</v>
      </c>
    </row>
    <row r="615" ht="15.75" customHeight="1">
      <c r="H615" s="20" t="str">
        <f>IFERROR(__xludf.DUMMYFUNCTION("""COMPUTED_VALUE"""),"")</f>
        <v/>
      </c>
      <c r="I615" s="20" t="s">
        <v>170</v>
      </c>
    </row>
    <row r="616" ht="15.75" customHeight="1">
      <c r="H616" s="20" t="str">
        <f>IFERROR(__xludf.DUMMYFUNCTION("""COMPUTED_VALUE"""),"")</f>
        <v/>
      </c>
      <c r="I616" s="20" t="s">
        <v>170</v>
      </c>
    </row>
    <row r="617" ht="15.75" customHeight="1">
      <c r="H617" s="20" t="str">
        <f>IFERROR(__xludf.DUMMYFUNCTION("""COMPUTED_VALUE"""),"")</f>
        <v/>
      </c>
      <c r="I617" s="20" t="s">
        <v>170</v>
      </c>
    </row>
    <row r="618" ht="15.75" customHeight="1">
      <c r="H618" s="20" t="str">
        <f>IFERROR(__xludf.DUMMYFUNCTION("""COMPUTED_VALUE"""),"")</f>
        <v/>
      </c>
      <c r="I618" s="20" t="s">
        <v>170</v>
      </c>
    </row>
    <row r="619" ht="15.75" customHeight="1">
      <c r="H619" s="20" t="str">
        <f>IFERROR(__xludf.DUMMYFUNCTION("""COMPUTED_VALUE"""),"")</f>
        <v/>
      </c>
      <c r="I619" s="20" t="s">
        <v>170</v>
      </c>
    </row>
    <row r="620" ht="15.75" customHeight="1">
      <c r="H620" s="20" t="str">
        <f>IFERROR(__xludf.DUMMYFUNCTION("""COMPUTED_VALUE"""),"")</f>
        <v/>
      </c>
      <c r="I620" s="20" t="s">
        <v>170</v>
      </c>
    </row>
    <row r="621" ht="15.75" customHeight="1">
      <c r="H621" s="20" t="str">
        <f>IFERROR(__xludf.DUMMYFUNCTION("""COMPUTED_VALUE"""),"")</f>
        <v/>
      </c>
      <c r="I621" s="20" t="s">
        <v>170</v>
      </c>
    </row>
    <row r="622" ht="15.75" customHeight="1">
      <c r="H622" s="20" t="str">
        <f>IFERROR(__xludf.DUMMYFUNCTION("""COMPUTED_VALUE"""),"")</f>
        <v/>
      </c>
      <c r="I622" s="20" t="s">
        <v>170</v>
      </c>
    </row>
    <row r="623" ht="15.75" customHeight="1">
      <c r="H623" s="20" t="str">
        <f>IFERROR(__xludf.DUMMYFUNCTION("""COMPUTED_VALUE"""),"")</f>
        <v/>
      </c>
      <c r="I623" s="20" t="s">
        <v>170</v>
      </c>
    </row>
    <row r="624" ht="15.75" customHeight="1">
      <c r="H624" s="20" t="str">
        <f>IFERROR(__xludf.DUMMYFUNCTION("""COMPUTED_VALUE"""),"")</f>
        <v/>
      </c>
      <c r="I624" s="20" t="s">
        <v>170</v>
      </c>
    </row>
    <row r="625" ht="15.75" customHeight="1">
      <c r="H625" s="20" t="str">
        <f>IFERROR(__xludf.DUMMYFUNCTION("""COMPUTED_VALUE"""),"")</f>
        <v/>
      </c>
      <c r="I625" s="20" t="s">
        <v>170</v>
      </c>
    </row>
    <row r="626" ht="15.75" customHeight="1">
      <c r="H626" s="20" t="str">
        <f>IFERROR(__xludf.DUMMYFUNCTION("""COMPUTED_VALUE"""),"")</f>
        <v/>
      </c>
      <c r="I626" s="20" t="s">
        <v>170</v>
      </c>
    </row>
    <row r="627" ht="15.75" customHeight="1">
      <c r="H627" s="20" t="str">
        <f>IFERROR(__xludf.DUMMYFUNCTION("""COMPUTED_VALUE"""),"")</f>
        <v/>
      </c>
      <c r="I627" s="20" t="s">
        <v>170</v>
      </c>
    </row>
    <row r="628" ht="15.75" customHeight="1">
      <c r="H628" s="20" t="str">
        <f>IFERROR(__xludf.DUMMYFUNCTION("""COMPUTED_VALUE"""),"")</f>
        <v/>
      </c>
      <c r="I628" s="20" t="s">
        <v>170</v>
      </c>
    </row>
    <row r="629" ht="15.75" customHeight="1">
      <c r="H629" s="20" t="str">
        <f>IFERROR(__xludf.DUMMYFUNCTION("""COMPUTED_VALUE"""),"")</f>
        <v/>
      </c>
      <c r="I629" s="20" t="s">
        <v>170</v>
      </c>
    </row>
    <row r="630" ht="15.75" customHeight="1">
      <c r="H630" s="20" t="str">
        <f>IFERROR(__xludf.DUMMYFUNCTION("""COMPUTED_VALUE"""),"")</f>
        <v/>
      </c>
      <c r="I630" s="20" t="s">
        <v>170</v>
      </c>
    </row>
    <row r="631" ht="15.75" customHeight="1">
      <c r="H631" s="20" t="str">
        <f>IFERROR(__xludf.DUMMYFUNCTION("""COMPUTED_VALUE"""),"")</f>
        <v/>
      </c>
      <c r="I631" s="20" t="s">
        <v>170</v>
      </c>
    </row>
    <row r="632" ht="15.75" customHeight="1">
      <c r="H632" s="20" t="str">
        <f>IFERROR(__xludf.DUMMYFUNCTION("""COMPUTED_VALUE"""),"")</f>
        <v/>
      </c>
      <c r="I632" s="20" t="s">
        <v>170</v>
      </c>
    </row>
    <row r="633" ht="15.75" customHeight="1">
      <c r="H633" s="20" t="str">
        <f>IFERROR(__xludf.DUMMYFUNCTION("""COMPUTED_VALUE"""),"")</f>
        <v/>
      </c>
      <c r="I633" s="20" t="s">
        <v>170</v>
      </c>
    </row>
    <row r="634" ht="15.75" customHeight="1">
      <c r="H634" s="20" t="str">
        <f>IFERROR(__xludf.DUMMYFUNCTION("""COMPUTED_VALUE"""),"")</f>
        <v/>
      </c>
      <c r="I634" s="20" t="s">
        <v>170</v>
      </c>
    </row>
    <row r="635" ht="15.75" customHeight="1">
      <c r="H635" s="20" t="str">
        <f>IFERROR(__xludf.DUMMYFUNCTION("""COMPUTED_VALUE"""),"")</f>
        <v/>
      </c>
      <c r="I635" s="20" t="s">
        <v>170</v>
      </c>
    </row>
    <row r="636" ht="15.75" customHeight="1">
      <c r="H636" s="20" t="str">
        <f>IFERROR(__xludf.DUMMYFUNCTION("""COMPUTED_VALUE"""),"")</f>
        <v/>
      </c>
      <c r="I636" s="20" t="s">
        <v>170</v>
      </c>
    </row>
    <row r="637" ht="15.75" customHeight="1">
      <c r="H637" s="20" t="str">
        <f>IFERROR(__xludf.DUMMYFUNCTION("""COMPUTED_VALUE"""),"")</f>
        <v/>
      </c>
      <c r="I637" s="20" t="s">
        <v>170</v>
      </c>
    </row>
    <row r="638" ht="15.75" customHeight="1">
      <c r="H638" s="20" t="str">
        <f>IFERROR(__xludf.DUMMYFUNCTION("""COMPUTED_VALUE"""),"")</f>
        <v/>
      </c>
      <c r="I638" s="20" t="s">
        <v>170</v>
      </c>
    </row>
    <row r="639" ht="15.75" customHeight="1">
      <c r="H639" s="20" t="str">
        <f>IFERROR(__xludf.DUMMYFUNCTION("""COMPUTED_VALUE"""),"")</f>
        <v/>
      </c>
      <c r="I639" s="20" t="s">
        <v>170</v>
      </c>
    </row>
    <row r="640" ht="15.75" customHeight="1">
      <c r="H640" s="20" t="str">
        <f>IFERROR(__xludf.DUMMYFUNCTION("""COMPUTED_VALUE"""),"")</f>
        <v/>
      </c>
      <c r="I640" s="20" t="s">
        <v>170</v>
      </c>
    </row>
    <row r="641" ht="15.75" customHeight="1">
      <c r="H641" s="20" t="str">
        <f>IFERROR(__xludf.DUMMYFUNCTION("""COMPUTED_VALUE"""),"")</f>
        <v/>
      </c>
      <c r="I641" s="20" t="s">
        <v>170</v>
      </c>
    </row>
    <row r="642" ht="15.75" customHeight="1">
      <c r="H642" s="20" t="str">
        <f>IFERROR(__xludf.DUMMYFUNCTION("""COMPUTED_VALUE"""),"")</f>
        <v/>
      </c>
      <c r="I642" s="20" t="s">
        <v>170</v>
      </c>
    </row>
    <row r="643" ht="15.75" customHeight="1">
      <c r="H643" s="20" t="str">
        <f>IFERROR(__xludf.DUMMYFUNCTION("""COMPUTED_VALUE"""),"")</f>
        <v/>
      </c>
      <c r="I643" s="20" t="s">
        <v>170</v>
      </c>
    </row>
    <row r="644" ht="15.75" customHeight="1">
      <c r="H644" s="20" t="str">
        <f>IFERROR(__xludf.DUMMYFUNCTION("""COMPUTED_VALUE"""),"")</f>
        <v/>
      </c>
      <c r="I644" s="20" t="s">
        <v>170</v>
      </c>
    </row>
    <row r="645" ht="15.75" customHeight="1">
      <c r="H645" s="20" t="str">
        <f>IFERROR(__xludf.DUMMYFUNCTION("""COMPUTED_VALUE"""),"")</f>
        <v/>
      </c>
      <c r="I645" s="20" t="s">
        <v>170</v>
      </c>
    </row>
    <row r="646" ht="15.75" customHeight="1">
      <c r="H646" s="20" t="str">
        <f>IFERROR(__xludf.DUMMYFUNCTION("""COMPUTED_VALUE"""),"")</f>
        <v/>
      </c>
      <c r="I646" s="20" t="s">
        <v>170</v>
      </c>
    </row>
    <row r="647" ht="15.75" customHeight="1">
      <c r="H647" s="20" t="str">
        <f>IFERROR(__xludf.DUMMYFUNCTION("""COMPUTED_VALUE"""),"")</f>
        <v/>
      </c>
      <c r="I647" s="20" t="s">
        <v>170</v>
      </c>
    </row>
    <row r="648" ht="15.75" customHeight="1">
      <c r="H648" s="20" t="str">
        <f>IFERROR(__xludf.DUMMYFUNCTION("""COMPUTED_VALUE"""),"")</f>
        <v/>
      </c>
      <c r="I648" s="20" t="s">
        <v>170</v>
      </c>
    </row>
    <row r="649" ht="15.75" customHeight="1">
      <c r="H649" s="20" t="str">
        <f>IFERROR(__xludf.DUMMYFUNCTION("""COMPUTED_VALUE"""),"")</f>
        <v/>
      </c>
      <c r="I649" s="20" t="s">
        <v>170</v>
      </c>
    </row>
    <row r="650" ht="15.75" customHeight="1">
      <c r="H650" s="20" t="str">
        <f>IFERROR(__xludf.DUMMYFUNCTION("""COMPUTED_VALUE"""),"")</f>
        <v/>
      </c>
      <c r="I650" s="20" t="s">
        <v>170</v>
      </c>
    </row>
    <row r="651" ht="15.75" customHeight="1">
      <c r="H651" s="20" t="str">
        <f>IFERROR(__xludf.DUMMYFUNCTION("""COMPUTED_VALUE"""),"")</f>
        <v/>
      </c>
      <c r="I651" s="20" t="s">
        <v>170</v>
      </c>
    </row>
    <row r="652" ht="15.75" customHeight="1">
      <c r="H652" s="20" t="str">
        <f>IFERROR(__xludf.DUMMYFUNCTION("""COMPUTED_VALUE"""),"")</f>
        <v/>
      </c>
      <c r="I652" s="20" t="s">
        <v>170</v>
      </c>
    </row>
    <row r="653" ht="15.75" customHeight="1">
      <c r="H653" s="20" t="str">
        <f>IFERROR(__xludf.DUMMYFUNCTION("""COMPUTED_VALUE"""),"")</f>
        <v/>
      </c>
      <c r="I653" s="20" t="s">
        <v>170</v>
      </c>
    </row>
    <row r="654" ht="15.75" customHeight="1">
      <c r="H654" s="20" t="str">
        <f>IFERROR(__xludf.DUMMYFUNCTION("""COMPUTED_VALUE"""),"")</f>
        <v/>
      </c>
      <c r="I654" s="20" t="s">
        <v>170</v>
      </c>
    </row>
    <row r="655" ht="15.75" customHeight="1">
      <c r="H655" s="20" t="str">
        <f>IFERROR(__xludf.DUMMYFUNCTION("""COMPUTED_VALUE"""),"")</f>
        <v/>
      </c>
      <c r="I655" s="20" t="s">
        <v>170</v>
      </c>
    </row>
    <row r="656" ht="15.75" customHeight="1">
      <c r="H656" s="20" t="str">
        <f>IFERROR(__xludf.DUMMYFUNCTION("""COMPUTED_VALUE"""),"")</f>
        <v/>
      </c>
      <c r="I656" s="20" t="s">
        <v>170</v>
      </c>
    </row>
    <row r="657" ht="15.75" customHeight="1">
      <c r="H657" s="20" t="str">
        <f>IFERROR(__xludf.DUMMYFUNCTION("""COMPUTED_VALUE"""),"")</f>
        <v/>
      </c>
      <c r="I657" s="20" t="s">
        <v>170</v>
      </c>
    </row>
    <row r="658" ht="15.75" customHeight="1">
      <c r="H658" s="20" t="str">
        <f>IFERROR(__xludf.DUMMYFUNCTION("""COMPUTED_VALUE"""),"")</f>
        <v/>
      </c>
      <c r="I658" s="20" t="s">
        <v>170</v>
      </c>
    </row>
    <row r="659" ht="15.75" customHeight="1">
      <c r="H659" s="20" t="str">
        <f>IFERROR(__xludf.DUMMYFUNCTION("""COMPUTED_VALUE"""),"")</f>
        <v/>
      </c>
      <c r="I659" s="20" t="s">
        <v>170</v>
      </c>
    </row>
    <row r="660" ht="15.75" customHeight="1">
      <c r="H660" s="20" t="str">
        <f>IFERROR(__xludf.DUMMYFUNCTION("""COMPUTED_VALUE"""),"")</f>
        <v/>
      </c>
      <c r="I660" s="20" t="s">
        <v>170</v>
      </c>
    </row>
    <row r="661" ht="15.75" customHeight="1">
      <c r="H661" s="20" t="str">
        <f>IFERROR(__xludf.DUMMYFUNCTION("""COMPUTED_VALUE"""),"")</f>
        <v/>
      </c>
      <c r="I661" s="20" t="s">
        <v>170</v>
      </c>
    </row>
    <row r="662" ht="15.75" customHeight="1">
      <c r="H662" s="20" t="str">
        <f>IFERROR(__xludf.DUMMYFUNCTION("""COMPUTED_VALUE"""),"")</f>
        <v/>
      </c>
      <c r="I662" s="20" t="s">
        <v>170</v>
      </c>
    </row>
    <row r="663" ht="15.75" customHeight="1">
      <c r="H663" s="20" t="str">
        <f>IFERROR(__xludf.DUMMYFUNCTION("""COMPUTED_VALUE"""),"")</f>
        <v/>
      </c>
      <c r="I663" s="20" t="s">
        <v>170</v>
      </c>
    </row>
    <row r="664" ht="15.75" customHeight="1">
      <c r="H664" s="20" t="str">
        <f>IFERROR(__xludf.DUMMYFUNCTION("""COMPUTED_VALUE"""),"")</f>
        <v/>
      </c>
      <c r="I664" s="20" t="s">
        <v>170</v>
      </c>
    </row>
    <row r="665" ht="15.75" customHeight="1">
      <c r="H665" s="20" t="str">
        <f>IFERROR(__xludf.DUMMYFUNCTION("""COMPUTED_VALUE"""),"")</f>
        <v/>
      </c>
      <c r="I665" s="20" t="s">
        <v>170</v>
      </c>
    </row>
    <row r="666" ht="15.75" customHeight="1">
      <c r="H666" s="20" t="str">
        <f>IFERROR(__xludf.DUMMYFUNCTION("""COMPUTED_VALUE"""),"")</f>
        <v/>
      </c>
      <c r="I666" s="20" t="s">
        <v>170</v>
      </c>
    </row>
    <row r="667" ht="15.75" customHeight="1">
      <c r="H667" s="20" t="str">
        <f>IFERROR(__xludf.DUMMYFUNCTION("""COMPUTED_VALUE"""),"")</f>
        <v/>
      </c>
      <c r="I667" s="20" t="s">
        <v>170</v>
      </c>
    </row>
    <row r="668" ht="15.75" customHeight="1">
      <c r="H668" s="20" t="str">
        <f>IFERROR(__xludf.DUMMYFUNCTION("""COMPUTED_VALUE"""),"")</f>
        <v/>
      </c>
      <c r="I668" s="20" t="s">
        <v>170</v>
      </c>
    </row>
    <row r="669" ht="15.75" customHeight="1">
      <c r="H669" s="20" t="str">
        <f>IFERROR(__xludf.DUMMYFUNCTION("""COMPUTED_VALUE"""),"")</f>
        <v/>
      </c>
      <c r="I669" s="20" t="s">
        <v>170</v>
      </c>
    </row>
    <row r="670" ht="15.75" customHeight="1">
      <c r="H670" s="20" t="str">
        <f>IFERROR(__xludf.DUMMYFUNCTION("""COMPUTED_VALUE"""),"")</f>
        <v/>
      </c>
      <c r="I670" s="20" t="s">
        <v>170</v>
      </c>
    </row>
    <row r="671" ht="15.75" customHeight="1">
      <c r="H671" s="20" t="str">
        <f>IFERROR(__xludf.DUMMYFUNCTION("""COMPUTED_VALUE"""),"")</f>
        <v/>
      </c>
      <c r="I671" s="20" t="s">
        <v>170</v>
      </c>
    </row>
    <row r="672" ht="15.75" customHeight="1">
      <c r="H672" s="20" t="str">
        <f>IFERROR(__xludf.DUMMYFUNCTION("""COMPUTED_VALUE"""),"")</f>
        <v/>
      </c>
      <c r="I672" s="20" t="s">
        <v>170</v>
      </c>
    </row>
    <row r="673" ht="15.75" customHeight="1">
      <c r="H673" s="20" t="str">
        <f>IFERROR(__xludf.DUMMYFUNCTION("""COMPUTED_VALUE"""),"")</f>
        <v/>
      </c>
      <c r="I673" s="20" t="s">
        <v>170</v>
      </c>
    </row>
    <row r="674" ht="15.75" customHeight="1">
      <c r="H674" s="20" t="str">
        <f>IFERROR(__xludf.DUMMYFUNCTION("""COMPUTED_VALUE"""),"")</f>
        <v/>
      </c>
      <c r="I674" s="20" t="s">
        <v>170</v>
      </c>
    </row>
    <row r="675" ht="15.75" customHeight="1">
      <c r="H675" s="20" t="str">
        <f>IFERROR(__xludf.DUMMYFUNCTION("""COMPUTED_VALUE"""),"")</f>
        <v/>
      </c>
      <c r="I675" s="20" t="s">
        <v>170</v>
      </c>
    </row>
    <row r="676" ht="15.75" customHeight="1">
      <c r="H676" s="20" t="str">
        <f>IFERROR(__xludf.DUMMYFUNCTION("""COMPUTED_VALUE"""),"")</f>
        <v/>
      </c>
      <c r="I676" s="20" t="s">
        <v>170</v>
      </c>
    </row>
    <row r="677" ht="15.75" customHeight="1">
      <c r="H677" s="20" t="str">
        <f>IFERROR(__xludf.DUMMYFUNCTION("""COMPUTED_VALUE"""),"")</f>
        <v/>
      </c>
      <c r="I677" s="20" t="s">
        <v>170</v>
      </c>
    </row>
    <row r="678" ht="15.75" customHeight="1">
      <c r="H678" s="20" t="str">
        <f>IFERROR(__xludf.DUMMYFUNCTION("""COMPUTED_VALUE"""),"")</f>
        <v/>
      </c>
      <c r="I678" s="20" t="s">
        <v>170</v>
      </c>
    </row>
    <row r="679" ht="15.75" customHeight="1">
      <c r="H679" s="20" t="str">
        <f>IFERROR(__xludf.DUMMYFUNCTION("""COMPUTED_VALUE"""),"")</f>
        <v/>
      </c>
      <c r="I679" s="20" t="s">
        <v>170</v>
      </c>
    </row>
    <row r="680" ht="15.75" customHeight="1">
      <c r="H680" s="20" t="str">
        <f>IFERROR(__xludf.DUMMYFUNCTION("""COMPUTED_VALUE"""),"")</f>
        <v/>
      </c>
      <c r="I680" s="20" t="s">
        <v>170</v>
      </c>
    </row>
    <row r="681" ht="15.75" customHeight="1">
      <c r="H681" s="20" t="str">
        <f>IFERROR(__xludf.DUMMYFUNCTION("""COMPUTED_VALUE"""),"")</f>
        <v/>
      </c>
      <c r="I681" s="20" t="s">
        <v>170</v>
      </c>
    </row>
    <row r="682" ht="15.75" customHeight="1">
      <c r="H682" s="20" t="str">
        <f>IFERROR(__xludf.DUMMYFUNCTION("""COMPUTED_VALUE"""),"")</f>
        <v/>
      </c>
      <c r="I682" s="20" t="s">
        <v>170</v>
      </c>
    </row>
    <row r="683" ht="15.75" customHeight="1">
      <c r="H683" s="20" t="str">
        <f>IFERROR(__xludf.DUMMYFUNCTION("""COMPUTED_VALUE"""),"")</f>
        <v/>
      </c>
      <c r="I683" s="20" t="s">
        <v>170</v>
      </c>
    </row>
    <row r="684" ht="15.75" customHeight="1">
      <c r="H684" s="20" t="str">
        <f>IFERROR(__xludf.DUMMYFUNCTION("""COMPUTED_VALUE"""),"")</f>
        <v/>
      </c>
      <c r="I684" s="20" t="s">
        <v>170</v>
      </c>
    </row>
    <row r="685" ht="15.75" customHeight="1">
      <c r="H685" s="20" t="str">
        <f>IFERROR(__xludf.DUMMYFUNCTION("""COMPUTED_VALUE"""),"")</f>
        <v/>
      </c>
      <c r="I685" s="20" t="s">
        <v>170</v>
      </c>
    </row>
    <row r="686" ht="15.75" customHeight="1">
      <c r="H686" s="20" t="str">
        <f>IFERROR(__xludf.DUMMYFUNCTION("""COMPUTED_VALUE"""),"")</f>
        <v/>
      </c>
      <c r="I686" s="20" t="s">
        <v>170</v>
      </c>
    </row>
    <row r="687" ht="15.75" customHeight="1">
      <c r="H687" s="20" t="str">
        <f>IFERROR(__xludf.DUMMYFUNCTION("""COMPUTED_VALUE"""),"")</f>
        <v/>
      </c>
      <c r="I687" s="20" t="s">
        <v>170</v>
      </c>
    </row>
    <row r="688" ht="15.75" customHeight="1">
      <c r="H688" s="20" t="str">
        <f>IFERROR(__xludf.DUMMYFUNCTION("""COMPUTED_VALUE"""),"")</f>
        <v/>
      </c>
      <c r="I688" s="20" t="s">
        <v>170</v>
      </c>
    </row>
    <row r="689" ht="15.75" customHeight="1">
      <c r="H689" s="20" t="str">
        <f>IFERROR(__xludf.DUMMYFUNCTION("""COMPUTED_VALUE"""),"")</f>
        <v/>
      </c>
      <c r="I689" s="20" t="s">
        <v>170</v>
      </c>
    </row>
    <row r="690" ht="15.75" customHeight="1">
      <c r="H690" s="20" t="str">
        <f>IFERROR(__xludf.DUMMYFUNCTION("""COMPUTED_VALUE"""),"")</f>
        <v/>
      </c>
      <c r="I690" s="20" t="s">
        <v>170</v>
      </c>
    </row>
    <row r="691" ht="15.75" customHeight="1">
      <c r="H691" s="20" t="str">
        <f>IFERROR(__xludf.DUMMYFUNCTION("""COMPUTED_VALUE"""),"")</f>
        <v/>
      </c>
      <c r="I691" s="20" t="s">
        <v>170</v>
      </c>
    </row>
    <row r="692" ht="15.75" customHeight="1">
      <c r="H692" s="20" t="str">
        <f>IFERROR(__xludf.DUMMYFUNCTION("""COMPUTED_VALUE"""),"")</f>
        <v/>
      </c>
      <c r="I692" s="20" t="s">
        <v>170</v>
      </c>
    </row>
    <row r="693" ht="15.75" customHeight="1">
      <c r="H693" s="20" t="str">
        <f>IFERROR(__xludf.DUMMYFUNCTION("""COMPUTED_VALUE"""),"")</f>
        <v/>
      </c>
      <c r="I693" s="20" t="s">
        <v>170</v>
      </c>
    </row>
    <row r="694" ht="15.75" customHeight="1">
      <c r="H694" s="20" t="str">
        <f>IFERROR(__xludf.DUMMYFUNCTION("""COMPUTED_VALUE"""),"")</f>
        <v/>
      </c>
      <c r="I694" s="20" t="s">
        <v>170</v>
      </c>
    </row>
    <row r="695" ht="15.75" customHeight="1">
      <c r="H695" s="20" t="str">
        <f>IFERROR(__xludf.DUMMYFUNCTION("""COMPUTED_VALUE"""),"")</f>
        <v/>
      </c>
      <c r="I695" s="20" t="s">
        <v>170</v>
      </c>
    </row>
    <row r="696" ht="15.75" customHeight="1">
      <c r="H696" s="20" t="str">
        <f>IFERROR(__xludf.DUMMYFUNCTION("""COMPUTED_VALUE"""),"")</f>
        <v/>
      </c>
      <c r="I696" s="20" t="s">
        <v>170</v>
      </c>
    </row>
    <row r="697" ht="15.75" customHeight="1">
      <c r="H697" s="20" t="str">
        <f>IFERROR(__xludf.DUMMYFUNCTION("""COMPUTED_VALUE"""),"")</f>
        <v/>
      </c>
      <c r="I697" s="20" t="s">
        <v>170</v>
      </c>
    </row>
    <row r="698" ht="15.75" customHeight="1">
      <c r="H698" s="20" t="str">
        <f>IFERROR(__xludf.DUMMYFUNCTION("""COMPUTED_VALUE"""),"")</f>
        <v/>
      </c>
      <c r="I698" s="20" t="s">
        <v>170</v>
      </c>
    </row>
    <row r="699" ht="15.75" customHeight="1">
      <c r="H699" s="20" t="str">
        <f>IFERROR(__xludf.DUMMYFUNCTION("""COMPUTED_VALUE"""),"")</f>
        <v/>
      </c>
      <c r="I699" s="20" t="s">
        <v>170</v>
      </c>
    </row>
    <row r="700" ht="15.75" customHeight="1">
      <c r="H700" s="20" t="str">
        <f>IFERROR(__xludf.DUMMYFUNCTION("""COMPUTED_VALUE"""),"")</f>
        <v/>
      </c>
      <c r="I700" s="20" t="s">
        <v>170</v>
      </c>
    </row>
    <row r="701" ht="15.75" customHeight="1">
      <c r="H701" s="20" t="str">
        <f>IFERROR(__xludf.DUMMYFUNCTION("""COMPUTED_VALUE"""),"")</f>
        <v/>
      </c>
      <c r="I701" s="20" t="s">
        <v>170</v>
      </c>
    </row>
    <row r="702" ht="15.75" customHeight="1">
      <c r="H702" s="20" t="str">
        <f>IFERROR(__xludf.DUMMYFUNCTION("""COMPUTED_VALUE"""),"")</f>
        <v/>
      </c>
      <c r="I702" s="20" t="s">
        <v>170</v>
      </c>
    </row>
    <row r="703" ht="15.75" customHeight="1">
      <c r="H703" s="20" t="str">
        <f>IFERROR(__xludf.DUMMYFUNCTION("""COMPUTED_VALUE"""),"")</f>
        <v/>
      </c>
      <c r="I703" s="20" t="s">
        <v>170</v>
      </c>
    </row>
    <row r="704" ht="15.75" customHeight="1">
      <c r="H704" s="20" t="str">
        <f>IFERROR(__xludf.DUMMYFUNCTION("""COMPUTED_VALUE"""),"")</f>
        <v/>
      </c>
      <c r="I704" s="20" t="s">
        <v>170</v>
      </c>
    </row>
    <row r="705" ht="15.75" customHeight="1">
      <c r="H705" s="20" t="str">
        <f>IFERROR(__xludf.DUMMYFUNCTION("""COMPUTED_VALUE"""),"")</f>
        <v/>
      </c>
      <c r="I705" s="20" t="s">
        <v>170</v>
      </c>
    </row>
    <row r="706" ht="15.75" customHeight="1">
      <c r="H706" s="20" t="str">
        <f>IFERROR(__xludf.DUMMYFUNCTION("""COMPUTED_VALUE"""),"")</f>
        <v/>
      </c>
      <c r="I706" s="20" t="s">
        <v>170</v>
      </c>
    </row>
    <row r="707" ht="15.75" customHeight="1">
      <c r="H707" s="20" t="str">
        <f>IFERROR(__xludf.DUMMYFUNCTION("""COMPUTED_VALUE"""),"")</f>
        <v/>
      </c>
      <c r="I707" s="20" t="s">
        <v>170</v>
      </c>
    </row>
    <row r="708" ht="15.75" customHeight="1">
      <c r="H708" s="20" t="str">
        <f>IFERROR(__xludf.DUMMYFUNCTION("""COMPUTED_VALUE"""),"")</f>
        <v/>
      </c>
      <c r="I708" s="20" t="s">
        <v>170</v>
      </c>
    </row>
    <row r="709" ht="15.75" customHeight="1">
      <c r="H709" s="20" t="str">
        <f>IFERROR(__xludf.DUMMYFUNCTION("""COMPUTED_VALUE"""),"")</f>
        <v/>
      </c>
      <c r="I709" s="20" t="s">
        <v>170</v>
      </c>
    </row>
    <row r="710" ht="15.75" customHeight="1">
      <c r="H710" s="20" t="str">
        <f>IFERROR(__xludf.DUMMYFUNCTION("""COMPUTED_VALUE"""),"")</f>
        <v/>
      </c>
      <c r="I710" s="20" t="s">
        <v>170</v>
      </c>
    </row>
    <row r="711" ht="15.75" customHeight="1">
      <c r="H711" s="20" t="str">
        <f>IFERROR(__xludf.DUMMYFUNCTION("""COMPUTED_VALUE"""),"")</f>
        <v/>
      </c>
      <c r="I711" s="20" t="s">
        <v>170</v>
      </c>
    </row>
    <row r="712" ht="15.75" customHeight="1">
      <c r="H712" s="20" t="str">
        <f>IFERROR(__xludf.DUMMYFUNCTION("""COMPUTED_VALUE"""),"")</f>
        <v/>
      </c>
      <c r="I712" s="20" t="s">
        <v>170</v>
      </c>
    </row>
    <row r="713" ht="15.75" customHeight="1">
      <c r="H713" s="20" t="str">
        <f>IFERROR(__xludf.DUMMYFUNCTION("""COMPUTED_VALUE"""),"")</f>
        <v/>
      </c>
      <c r="I713" s="20" t="s">
        <v>170</v>
      </c>
    </row>
    <row r="714" ht="15.75" customHeight="1">
      <c r="H714" s="20" t="str">
        <f>IFERROR(__xludf.DUMMYFUNCTION("""COMPUTED_VALUE"""),"")</f>
        <v/>
      </c>
      <c r="I714" s="20" t="s">
        <v>170</v>
      </c>
    </row>
    <row r="715" ht="15.75" customHeight="1">
      <c r="H715" s="20" t="str">
        <f>IFERROR(__xludf.DUMMYFUNCTION("""COMPUTED_VALUE"""),"")</f>
        <v/>
      </c>
      <c r="I715" s="20" t="s">
        <v>170</v>
      </c>
    </row>
    <row r="716" ht="15.75" customHeight="1">
      <c r="H716" s="20" t="str">
        <f>IFERROR(__xludf.DUMMYFUNCTION("""COMPUTED_VALUE"""),"")</f>
        <v/>
      </c>
      <c r="I716" s="20" t="s">
        <v>170</v>
      </c>
    </row>
    <row r="717" ht="15.75" customHeight="1">
      <c r="H717" s="20" t="str">
        <f>IFERROR(__xludf.DUMMYFUNCTION("""COMPUTED_VALUE"""),"")</f>
        <v/>
      </c>
      <c r="I717" s="20" t="s">
        <v>170</v>
      </c>
    </row>
    <row r="718" ht="15.75" customHeight="1">
      <c r="H718" s="20" t="str">
        <f>IFERROR(__xludf.DUMMYFUNCTION("""COMPUTED_VALUE"""),"")</f>
        <v/>
      </c>
      <c r="I718" s="20" t="s">
        <v>170</v>
      </c>
    </row>
    <row r="719" ht="15.75" customHeight="1">
      <c r="H719" s="20" t="str">
        <f>IFERROR(__xludf.DUMMYFUNCTION("""COMPUTED_VALUE"""),"")</f>
        <v/>
      </c>
      <c r="I719" s="20" t="s">
        <v>170</v>
      </c>
    </row>
    <row r="720" ht="15.75" customHeight="1">
      <c r="H720" s="20" t="str">
        <f>IFERROR(__xludf.DUMMYFUNCTION("""COMPUTED_VALUE"""),"")</f>
        <v/>
      </c>
      <c r="I720" s="20" t="s">
        <v>170</v>
      </c>
    </row>
    <row r="721" ht="15.75" customHeight="1">
      <c r="H721" s="20" t="str">
        <f>IFERROR(__xludf.DUMMYFUNCTION("""COMPUTED_VALUE"""),"")</f>
        <v/>
      </c>
      <c r="I721" s="20" t="s">
        <v>170</v>
      </c>
    </row>
    <row r="722" ht="15.75" customHeight="1">
      <c r="H722" s="20" t="str">
        <f>IFERROR(__xludf.DUMMYFUNCTION("""COMPUTED_VALUE"""),"")</f>
        <v/>
      </c>
      <c r="I722" s="20" t="s">
        <v>170</v>
      </c>
    </row>
    <row r="723" ht="15.75" customHeight="1">
      <c r="H723" s="20" t="str">
        <f>IFERROR(__xludf.DUMMYFUNCTION("""COMPUTED_VALUE"""),"")</f>
        <v/>
      </c>
      <c r="I723" s="20" t="s">
        <v>170</v>
      </c>
    </row>
    <row r="724" ht="15.75" customHeight="1">
      <c r="H724" s="20" t="str">
        <f>IFERROR(__xludf.DUMMYFUNCTION("""COMPUTED_VALUE"""),"")</f>
        <v/>
      </c>
      <c r="I724" s="20" t="s">
        <v>170</v>
      </c>
    </row>
    <row r="725" ht="15.75" customHeight="1">
      <c r="H725" s="20" t="str">
        <f>IFERROR(__xludf.DUMMYFUNCTION("""COMPUTED_VALUE"""),"")</f>
        <v/>
      </c>
      <c r="I725" s="20" t="s">
        <v>170</v>
      </c>
    </row>
    <row r="726" ht="15.75" customHeight="1">
      <c r="H726" s="20" t="str">
        <f>IFERROR(__xludf.DUMMYFUNCTION("""COMPUTED_VALUE"""),"")</f>
        <v/>
      </c>
      <c r="I726" s="20" t="s">
        <v>170</v>
      </c>
    </row>
    <row r="727" ht="15.75" customHeight="1">
      <c r="H727" s="20" t="str">
        <f>IFERROR(__xludf.DUMMYFUNCTION("""COMPUTED_VALUE"""),"")</f>
        <v/>
      </c>
      <c r="I727" s="20" t="s">
        <v>170</v>
      </c>
    </row>
    <row r="728" ht="15.75" customHeight="1">
      <c r="H728" s="20" t="str">
        <f>IFERROR(__xludf.DUMMYFUNCTION("""COMPUTED_VALUE"""),"")</f>
        <v/>
      </c>
      <c r="I728" s="20" t="s">
        <v>170</v>
      </c>
    </row>
    <row r="729" ht="15.75" customHeight="1">
      <c r="H729" s="20" t="str">
        <f>IFERROR(__xludf.DUMMYFUNCTION("""COMPUTED_VALUE"""),"")</f>
        <v/>
      </c>
      <c r="I729" s="20" t="s">
        <v>170</v>
      </c>
    </row>
    <row r="730" ht="15.75" customHeight="1">
      <c r="H730" s="20" t="str">
        <f>IFERROR(__xludf.DUMMYFUNCTION("""COMPUTED_VALUE"""),"")</f>
        <v/>
      </c>
      <c r="I730" s="20" t="s">
        <v>170</v>
      </c>
    </row>
    <row r="731" ht="15.75" customHeight="1">
      <c r="H731" s="20" t="str">
        <f>IFERROR(__xludf.DUMMYFUNCTION("""COMPUTED_VALUE"""),"")</f>
        <v/>
      </c>
      <c r="I731" s="20" t="s">
        <v>170</v>
      </c>
    </row>
    <row r="732" ht="15.75" customHeight="1">
      <c r="H732" s="20" t="str">
        <f>IFERROR(__xludf.DUMMYFUNCTION("""COMPUTED_VALUE"""),"")</f>
        <v/>
      </c>
      <c r="I732" s="20" t="s">
        <v>170</v>
      </c>
    </row>
    <row r="733" ht="15.75" customHeight="1">
      <c r="H733" s="20" t="str">
        <f>IFERROR(__xludf.DUMMYFUNCTION("""COMPUTED_VALUE"""),"")</f>
        <v/>
      </c>
      <c r="I733" s="20" t="s">
        <v>170</v>
      </c>
    </row>
    <row r="734" ht="15.75" customHeight="1">
      <c r="H734" s="20" t="str">
        <f>IFERROR(__xludf.DUMMYFUNCTION("""COMPUTED_VALUE"""),"")</f>
        <v/>
      </c>
      <c r="I734" s="20" t="s">
        <v>170</v>
      </c>
    </row>
    <row r="735" ht="15.75" customHeight="1">
      <c r="H735" s="20" t="str">
        <f>IFERROR(__xludf.DUMMYFUNCTION("""COMPUTED_VALUE"""),"")</f>
        <v/>
      </c>
      <c r="I735" s="20" t="s">
        <v>170</v>
      </c>
    </row>
    <row r="736" ht="15.75" customHeight="1">
      <c r="H736" s="20" t="str">
        <f>IFERROR(__xludf.DUMMYFUNCTION("""COMPUTED_VALUE"""),"")</f>
        <v/>
      </c>
      <c r="I736" s="20" t="s">
        <v>170</v>
      </c>
    </row>
    <row r="737" ht="15.75" customHeight="1">
      <c r="H737" s="20" t="str">
        <f>IFERROR(__xludf.DUMMYFUNCTION("""COMPUTED_VALUE"""),"")</f>
        <v/>
      </c>
      <c r="I737" s="20" t="s">
        <v>170</v>
      </c>
    </row>
    <row r="738" ht="15.75" customHeight="1">
      <c r="H738" s="20" t="str">
        <f>IFERROR(__xludf.DUMMYFUNCTION("""COMPUTED_VALUE"""),"")</f>
        <v/>
      </c>
      <c r="I738" s="20" t="s">
        <v>170</v>
      </c>
    </row>
    <row r="739" ht="15.75" customHeight="1">
      <c r="H739" s="20" t="str">
        <f>IFERROR(__xludf.DUMMYFUNCTION("""COMPUTED_VALUE"""),"")</f>
        <v/>
      </c>
      <c r="I739" s="20" t="s">
        <v>170</v>
      </c>
    </row>
    <row r="740" ht="15.75" customHeight="1">
      <c r="H740" s="20" t="str">
        <f>IFERROR(__xludf.DUMMYFUNCTION("""COMPUTED_VALUE"""),"")</f>
        <v/>
      </c>
      <c r="I740" s="20" t="s">
        <v>170</v>
      </c>
    </row>
    <row r="741" ht="15.75" customHeight="1">
      <c r="H741" s="20" t="str">
        <f>IFERROR(__xludf.DUMMYFUNCTION("""COMPUTED_VALUE"""),"")</f>
        <v/>
      </c>
      <c r="I741" s="20" t="s">
        <v>170</v>
      </c>
    </row>
    <row r="742" ht="15.75" customHeight="1">
      <c r="H742" s="20" t="str">
        <f>IFERROR(__xludf.DUMMYFUNCTION("""COMPUTED_VALUE"""),"")</f>
        <v/>
      </c>
      <c r="I742" s="20" t="s">
        <v>170</v>
      </c>
    </row>
    <row r="743" ht="15.75" customHeight="1">
      <c r="H743" s="20" t="str">
        <f>IFERROR(__xludf.DUMMYFUNCTION("""COMPUTED_VALUE"""),"")</f>
        <v/>
      </c>
      <c r="I743" s="20" t="s">
        <v>170</v>
      </c>
    </row>
    <row r="744" ht="15.75" customHeight="1">
      <c r="H744" s="20" t="str">
        <f>IFERROR(__xludf.DUMMYFUNCTION("""COMPUTED_VALUE"""),"")</f>
        <v/>
      </c>
      <c r="I744" s="20" t="s">
        <v>170</v>
      </c>
    </row>
    <row r="745" ht="15.75" customHeight="1">
      <c r="H745" s="20" t="str">
        <f>IFERROR(__xludf.DUMMYFUNCTION("""COMPUTED_VALUE"""),"")</f>
        <v/>
      </c>
      <c r="I745" s="20" t="s">
        <v>170</v>
      </c>
    </row>
    <row r="746" ht="15.75" customHeight="1">
      <c r="H746" s="20" t="str">
        <f>IFERROR(__xludf.DUMMYFUNCTION("""COMPUTED_VALUE"""),"")</f>
        <v/>
      </c>
      <c r="I746" s="20" t="s">
        <v>170</v>
      </c>
    </row>
    <row r="747" ht="15.75" customHeight="1">
      <c r="H747" s="20" t="str">
        <f>IFERROR(__xludf.DUMMYFUNCTION("""COMPUTED_VALUE"""),"")</f>
        <v/>
      </c>
      <c r="I747" s="20" t="s">
        <v>170</v>
      </c>
    </row>
    <row r="748" ht="15.75" customHeight="1">
      <c r="H748" s="20" t="str">
        <f>IFERROR(__xludf.DUMMYFUNCTION("""COMPUTED_VALUE"""),"")</f>
        <v/>
      </c>
      <c r="I748" s="20" t="s">
        <v>170</v>
      </c>
    </row>
    <row r="749" ht="15.75" customHeight="1">
      <c r="H749" s="20" t="str">
        <f>IFERROR(__xludf.DUMMYFUNCTION("""COMPUTED_VALUE"""),"")</f>
        <v/>
      </c>
      <c r="I749" s="20" t="s">
        <v>170</v>
      </c>
    </row>
    <row r="750" ht="15.75" customHeight="1">
      <c r="H750" s="20" t="str">
        <f>IFERROR(__xludf.DUMMYFUNCTION("""COMPUTED_VALUE"""),"")</f>
        <v/>
      </c>
      <c r="I750" s="20" t="s">
        <v>170</v>
      </c>
    </row>
    <row r="751" ht="15.75" customHeight="1">
      <c r="H751" s="20" t="str">
        <f>IFERROR(__xludf.DUMMYFUNCTION("""COMPUTED_VALUE"""),"")</f>
        <v/>
      </c>
      <c r="I751" s="20" t="s">
        <v>170</v>
      </c>
    </row>
    <row r="752" ht="15.75" customHeight="1">
      <c r="H752" s="20" t="str">
        <f>IFERROR(__xludf.DUMMYFUNCTION("""COMPUTED_VALUE"""),"")</f>
        <v/>
      </c>
      <c r="I752" s="20" t="s">
        <v>170</v>
      </c>
    </row>
    <row r="753" ht="15.75" customHeight="1">
      <c r="H753" s="20" t="str">
        <f>IFERROR(__xludf.DUMMYFUNCTION("""COMPUTED_VALUE"""),"")</f>
        <v/>
      </c>
      <c r="I753" s="20" t="s">
        <v>170</v>
      </c>
    </row>
    <row r="754" ht="15.75" customHeight="1">
      <c r="H754" s="20" t="str">
        <f>IFERROR(__xludf.DUMMYFUNCTION("""COMPUTED_VALUE"""),"")</f>
        <v/>
      </c>
      <c r="I754" s="20" t="s">
        <v>170</v>
      </c>
    </row>
    <row r="755" ht="15.75" customHeight="1">
      <c r="H755" s="20" t="str">
        <f>IFERROR(__xludf.DUMMYFUNCTION("""COMPUTED_VALUE"""),"")</f>
        <v/>
      </c>
      <c r="I755" s="20" t="s">
        <v>170</v>
      </c>
    </row>
    <row r="756" ht="15.75" customHeight="1">
      <c r="H756" s="20" t="str">
        <f>IFERROR(__xludf.DUMMYFUNCTION("""COMPUTED_VALUE"""),"")</f>
        <v/>
      </c>
      <c r="I756" s="20" t="s">
        <v>170</v>
      </c>
    </row>
    <row r="757" ht="15.75" customHeight="1">
      <c r="H757" s="20" t="str">
        <f>IFERROR(__xludf.DUMMYFUNCTION("""COMPUTED_VALUE"""),"")</f>
        <v/>
      </c>
      <c r="I757" s="20" t="s">
        <v>170</v>
      </c>
    </row>
    <row r="758" ht="15.75" customHeight="1">
      <c r="H758" s="20" t="str">
        <f>IFERROR(__xludf.DUMMYFUNCTION("""COMPUTED_VALUE"""),"")</f>
        <v/>
      </c>
      <c r="I758" s="20" t="s">
        <v>170</v>
      </c>
    </row>
    <row r="759" ht="15.75" customHeight="1">
      <c r="H759" s="20" t="str">
        <f>IFERROR(__xludf.DUMMYFUNCTION("""COMPUTED_VALUE"""),"")</f>
        <v/>
      </c>
      <c r="I759" s="20" t="s">
        <v>170</v>
      </c>
    </row>
    <row r="760" ht="15.75" customHeight="1">
      <c r="H760" s="20" t="str">
        <f>IFERROR(__xludf.DUMMYFUNCTION("""COMPUTED_VALUE"""),"")</f>
        <v/>
      </c>
      <c r="I760" s="20" t="s">
        <v>170</v>
      </c>
    </row>
    <row r="761" ht="15.75" customHeight="1">
      <c r="H761" s="20" t="str">
        <f>IFERROR(__xludf.DUMMYFUNCTION("""COMPUTED_VALUE"""),"")</f>
        <v/>
      </c>
      <c r="I761" s="20" t="s">
        <v>170</v>
      </c>
    </row>
    <row r="762" ht="15.75" customHeight="1">
      <c r="H762" s="20" t="str">
        <f>IFERROR(__xludf.DUMMYFUNCTION("""COMPUTED_VALUE"""),"")</f>
        <v/>
      </c>
      <c r="I762" s="20" t="s">
        <v>170</v>
      </c>
    </row>
    <row r="763" ht="15.75" customHeight="1">
      <c r="H763" s="20" t="str">
        <f>IFERROR(__xludf.DUMMYFUNCTION("""COMPUTED_VALUE"""),"")</f>
        <v/>
      </c>
      <c r="I763" s="20" t="s">
        <v>170</v>
      </c>
    </row>
    <row r="764" ht="15.75" customHeight="1">
      <c r="H764" s="20" t="str">
        <f>IFERROR(__xludf.DUMMYFUNCTION("""COMPUTED_VALUE"""),"")</f>
        <v/>
      </c>
      <c r="I764" s="20" t="s">
        <v>170</v>
      </c>
    </row>
    <row r="765" ht="15.75" customHeight="1">
      <c r="H765" s="20" t="str">
        <f>IFERROR(__xludf.DUMMYFUNCTION("""COMPUTED_VALUE"""),"")</f>
        <v/>
      </c>
      <c r="I765" s="20" t="s">
        <v>170</v>
      </c>
    </row>
    <row r="766" ht="15.75" customHeight="1">
      <c r="H766" s="20" t="str">
        <f>IFERROR(__xludf.DUMMYFUNCTION("""COMPUTED_VALUE"""),"")</f>
        <v/>
      </c>
      <c r="I766" s="20" t="s">
        <v>170</v>
      </c>
    </row>
    <row r="767" ht="15.75" customHeight="1">
      <c r="H767" s="20" t="str">
        <f>IFERROR(__xludf.DUMMYFUNCTION("""COMPUTED_VALUE"""),"")</f>
        <v/>
      </c>
      <c r="I767" s="20" t="s">
        <v>170</v>
      </c>
    </row>
    <row r="768" ht="15.75" customHeight="1">
      <c r="H768" s="20" t="str">
        <f>IFERROR(__xludf.DUMMYFUNCTION("""COMPUTED_VALUE"""),"")</f>
        <v/>
      </c>
      <c r="I768" s="20" t="s">
        <v>170</v>
      </c>
    </row>
    <row r="769" ht="15.75" customHeight="1">
      <c r="H769" s="20" t="str">
        <f>IFERROR(__xludf.DUMMYFUNCTION("""COMPUTED_VALUE"""),"")</f>
        <v/>
      </c>
      <c r="I769" s="20" t="s">
        <v>170</v>
      </c>
    </row>
    <row r="770" ht="15.75" customHeight="1">
      <c r="H770" s="20" t="str">
        <f>IFERROR(__xludf.DUMMYFUNCTION("""COMPUTED_VALUE"""),"")</f>
        <v/>
      </c>
      <c r="I770" s="20" t="s">
        <v>170</v>
      </c>
    </row>
    <row r="771" ht="15.75" customHeight="1">
      <c r="H771" s="20" t="str">
        <f>IFERROR(__xludf.DUMMYFUNCTION("""COMPUTED_VALUE"""),"")</f>
        <v/>
      </c>
      <c r="I771" s="20" t="s">
        <v>170</v>
      </c>
    </row>
    <row r="772" ht="15.75" customHeight="1">
      <c r="H772" s="20" t="str">
        <f>IFERROR(__xludf.DUMMYFUNCTION("""COMPUTED_VALUE"""),"")</f>
        <v/>
      </c>
      <c r="I772" s="20" t="s">
        <v>170</v>
      </c>
    </row>
    <row r="773" ht="15.75" customHeight="1">
      <c r="H773" s="20" t="str">
        <f>IFERROR(__xludf.DUMMYFUNCTION("""COMPUTED_VALUE"""),"")</f>
        <v/>
      </c>
      <c r="I773" s="20" t="s">
        <v>170</v>
      </c>
    </row>
    <row r="774" ht="15.75" customHeight="1">
      <c r="H774" s="20" t="str">
        <f>IFERROR(__xludf.DUMMYFUNCTION("""COMPUTED_VALUE"""),"")</f>
        <v/>
      </c>
      <c r="I774" s="20" t="s">
        <v>170</v>
      </c>
    </row>
    <row r="775" ht="15.75" customHeight="1">
      <c r="H775" s="20" t="str">
        <f>IFERROR(__xludf.DUMMYFUNCTION("""COMPUTED_VALUE"""),"")</f>
        <v/>
      </c>
      <c r="I775" s="20" t="s">
        <v>170</v>
      </c>
    </row>
    <row r="776" ht="15.75" customHeight="1">
      <c r="H776" s="20" t="str">
        <f>IFERROR(__xludf.DUMMYFUNCTION("""COMPUTED_VALUE"""),"")</f>
        <v/>
      </c>
      <c r="I776" s="20" t="s">
        <v>170</v>
      </c>
    </row>
    <row r="777" ht="15.75" customHeight="1">
      <c r="H777" s="20" t="str">
        <f>IFERROR(__xludf.DUMMYFUNCTION("""COMPUTED_VALUE"""),"")</f>
        <v/>
      </c>
      <c r="I777" s="20" t="s">
        <v>170</v>
      </c>
    </row>
    <row r="778" ht="15.75" customHeight="1">
      <c r="H778" s="20" t="str">
        <f>IFERROR(__xludf.DUMMYFUNCTION("""COMPUTED_VALUE"""),"")</f>
        <v/>
      </c>
      <c r="I778" s="20" t="s">
        <v>170</v>
      </c>
    </row>
    <row r="779" ht="15.75" customHeight="1">
      <c r="H779" s="20" t="str">
        <f>IFERROR(__xludf.DUMMYFUNCTION("""COMPUTED_VALUE"""),"")</f>
        <v/>
      </c>
      <c r="I779" s="20" t="s">
        <v>170</v>
      </c>
    </row>
    <row r="780" ht="15.75" customHeight="1">
      <c r="H780" s="20" t="str">
        <f>IFERROR(__xludf.DUMMYFUNCTION("""COMPUTED_VALUE"""),"")</f>
        <v/>
      </c>
      <c r="I780" s="20" t="s">
        <v>170</v>
      </c>
    </row>
    <row r="781" ht="15.75" customHeight="1">
      <c r="H781" s="20" t="str">
        <f>IFERROR(__xludf.DUMMYFUNCTION("""COMPUTED_VALUE"""),"")</f>
        <v/>
      </c>
      <c r="I781" s="20" t="s">
        <v>170</v>
      </c>
    </row>
    <row r="782" ht="15.75" customHeight="1">
      <c r="H782" s="20" t="str">
        <f>IFERROR(__xludf.DUMMYFUNCTION("""COMPUTED_VALUE"""),"")</f>
        <v/>
      </c>
      <c r="I782" s="20" t="s">
        <v>170</v>
      </c>
    </row>
    <row r="783" ht="15.75" customHeight="1">
      <c r="H783" s="20" t="str">
        <f>IFERROR(__xludf.DUMMYFUNCTION("""COMPUTED_VALUE"""),"")</f>
        <v/>
      </c>
      <c r="I783" s="20" t="s">
        <v>170</v>
      </c>
    </row>
    <row r="784" ht="15.75" customHeight="1">
      <c r="H784" s="20" t="str">
        <f>IFERROR(__xludf.DUMMYFUNCTION("""COMPUTED_VALUE"""),"")</f>
        <v/>
      </c>
      <c r="I784" s="20" t="s">
        <v>170</v>
      </c>
    </row>
    <row r="785" ht="15.75" customHeight="1">
      <c r="H785" s="20" t="str">
        <f>IFERROR(__xludf.DUMMYFUNCTION("""COMPUTED_VALUE"""),"")</f>
        <v/>
      </c>
      <c r="I785" s="20" t="s">
        <v>170</v>
      </c>
    </row>
    <row r="786" ht="15.75" customHeight="1">
      <c r="H786" s="20" t="str">
        <f>IFERROR(__xludf.DUMMYFUNCTION("""COMPUTED_VALUE"""),"")</f>
        <v/>
      </c>
      <c r="I786" s="20" t="s">
        <v>170</v>
      </c>
    </row>
    <row r="787" ht="15.75" customHeight="1">
      <c r="H787" s="20" t="str">
        <f>IFERROR(__xludf.DUMMYFUNCTION("""COMPUTED_VALUE"""),"")</f>
        <v/>
      </c>
      <c r="I787" s="20" t="s">
        <v>170</v>
      </c>
    </row>
    <row r="788" ht="15.75" customHeight="1">
      <c r="H788" s="20" t="str">
        <f>IFERROR(__xludf.DUMMYFUNCTION("""COMPUTED_VALUE"""),"")</f>
        <v/>
      </c>
      <c r="I788" s="20" t="s">
        <v>170</v>
      </c>
    </row>
    <row r="789" ht="15.75" customHeight="1">
      <c r="H789" s="20" t="str">
        <f>IFERROR(__xludf.DUMMYFUNCTION("""COMPUTED_VALUE"""),"")</f>
        <v/>
      </c>
      <c r="I789" s="20" t="s">
        <v>170</v>
      </c>
    </row>
    <row r="790" ht="15.75" customHeight="1">
      <c r="H790" s="20" t="str">
        <f>IFERROR(__xludf.DUMMYFUNCTION("""COMPUTED_VALUE"""),"")</f>
        <v/>
      </c>
      <c r="I790" s="20" t="s">
        <v>170</v>
      </c>
    </row>
    <row r="791" ht="15.75" customHeight="1">
      <c r="H791" s="20" t="str">
        <f>IFERROR(__xludf.DUMMYFUNCTION("""COMPUTED_VALUE"""),"")</f>
        <v/>
      </c>
      <c r="I791" s="20" t="s">
        <v>170</v>
      </c>
    </row>
    <row r="792" ht="15.75" customHeight="1">
      <c r="H792" s="20" t="str">
        <f>IFERROR(__xludf.DUMMYFUNCTION("""COMPUTED_VALUE"""),"")</f>
        <v/>
      </c>
      <c r="I792" s="20" t="s">
        <v>170</v>
      </c>
    </row>
    <row r="793" ht="15.75" customHeight="1">
      <c r="H793" s="20" t="str">
        <f>IFERROR(__xludf.DUMMYFUNCTION("""COMPUTED_VALUE"""),"")</f>
        <v/>
      </c>
      <c r="I793" s="20" t="s">
        <v>170</v>
      </c>
    </row>
    <row r="794" ht="15.75" customHeight="1">
      <c r="H794" s="20" t="str">
        <f>IFERROR(__xludf.DUMMYFUNCTION("""COMPUTED_VALUE"""),"")</f>
        <v/>
      </c>
      <c r="I794" s="20" t="s">
        <v>170</v>
      </c>
    </row>
    <row r="795" ht="15.75" customHeight="1">
      <c r="H795" s="20" t="str">
        <f>IFERROR(__xludf.DUMMYFUNCTION("""COMPUTED_VALUE"""),"")</f>
        <v/>
      </c>
      <c r="I795" s="20" t="s">
        <v>170</v>
      </c>
    </row>
    <row r="796" ht="15.75" customHeight="1">
      <c r="H796" s="20" t="str">
        <f>IFERROR(__xludf.DUMMYFUNCTION("""COMPUTED_VALUE"""),"")</f>
        <v/>
      </c>
      <c r="I796" s="20" t="s">
        <v>170</v>
      </c>
    </row>
    <row r="797" ht="15.75" customHeight="1">
      <c r="H797" s="20" t="str">
        <f>IFERROR(__xludf.DUMMYFUNCTION("""COMPUTED_VALUE"""),"")</f>
        <v/>
      </c>
      <c r="I797" s="20" t="s">
        <v>170</v>
      </c>
    </row>
    <row r="798" ht="15.75" customHeight="1">
      <c r="H798" s="20" t="str">
        <f>IFERROR(__xludf.DUMMYFUNCTION("""COMPUTED_VALUE"""),"")</f>
        <v/>
      </c>
      <c r="I798" s="20" t="s">
        <v>170</v>
      </c>
    </row>
    <row r="799" ht="15.75" customHeight="1">
      <c r="H799" s="20" t="str">
        <f>IFERROR(__xludf.DUMMYFUNCTION("""COMPUTED_VALUE"""),"")</f>
        <v/>
      </c>
      <c r="I799" s="20" t="s">
        <v>170</v>
      </c>
    </row>
    <row r="800" ht="15.75" customHeight="1">
      <c r="H800" s="20" t="str">
        <f>IFERROR(__xludf.DUMMYFUNCTION("""COMPUTED_VALUE"""),"")</f>
        <v/>
      </c>
      <c r="I800" s="20" t="s">
        <v>170</v>
      </c>
    </row>
    <row r="801" ht="15.75" customHeight="1">
      <c r="H801" s="20" t="str">
        <f>IFERROR(__xludf.DUMMYFUNCTION("""COMPUTED_VALUE"""),"")</f>
        <v/>
      </c>
      <c r="I801" s="20" t="s">
        <v>170</v>
      </c>
    </row>
    <row r="802" ht="15.75" customHeight="1">
      <c r="H802" s="20" t="str">
        <f>IFERROR(__xludf.DUMMYFUNCTION("""COMPUTED_VALUE"""),"")</f>
        <v/>
      </c>
      <c r="I802" s="20" t="s">
        <v>170</v>
      </c>
    </row>
    <row r="803" ht="15.75" customHeight="1">
      <c r="H803" s="20" t="str">
        <f>IFERROR(__xludf.DUMMYFUNCTION("""COMPUTED_VALUE"""),"")</f>
        <v/>
      </c>
      <c r="I803" s="20" t="s">
        <v>170</v>
      </c>
    </row>
    <row r="804" ht="15.75" customHeight="1">
      <c r="H804" s="20" t="str">
        <f>IFERROR(__xludf.DUMMYFUNCTION("""COMPUTED_VALUE"""),"")</f>
        <v/>
      </c>
      <c r="I804" s="20" t="s">
        <v>170</v>
      </c>
    </row>
    <row r="805" ht="15.75" customHeight="1">
      <c r="H805" s="20" t="str">
        <f>IFERROR(__xludf.DUMMYFUNCTION("""COMPUTED_VALUE"""),"")</f>
        <v/>
      </c>
      <c r="I805" s="20" t="s">
        <v>170</v>
      </c>
    </row>
    <row r="806" ht="15.75" customHeight="1">
      <c r="H806" s="20" t="str">
        <f>IFERROR(__xludf.DUMMYFUNCTION("""COMPUTED_VALUE"""),"")</f>
        <v/>
      </c>
      <c r="I806" s="20" t="s">
        <v>170</v>
      </c>
    </row>
    <row r="807" ht="15.75" customHeight="1">
      <c r="H807" s="20" t="str">
        <f>IFERROR(__xludf.DUMMYFUNCTION("""COMPUTED_VALUE"""),"")</f>
        <v/>
      </c>
      <c r="I807" s="20" t="s">
        <v>170</v>
      </c>
    </row>
    <row r="808" ht="15.75" customHeight="1">
      <c r="H808" s="20" t="str">
        <f>IFERROR(__xludf.DUMMYFUNCTION("""COMPUTED_VALUE"""),"")</f>
        <v/>
      </c>
      <c r="I808" s="20" t="s">
        <v>170</v>
      </c>
    </row>
    <row r="809" ht="15.75" customHeight="1">
      <c r="H809" s="20" t="str">
        <f>IFERROR(__xludf.DUMMYFUNCTION("""COMPUTED_VALUE"""),"")</f>
        <v/>
      </c>
      <c r="I809" s="20" t="s">
        <v>170</v>
      </c>
    </row>
    <row r="810" ht="15.75" customHeight="1">
      <c r="H810" s="20" t="str">
        <f>IFERROR(__xludf.DUMMYFUNCTION("""COMPUTED_VALUE"""),"")</f>
        <v/>
      </c>
      <c r="I810" s="20" t="s">
        <v>170</v>
      </c>
    </row>
    <row r="811" ht="15.75" customHeight="1">
      <c r="H811" s="20" t="str">
        <f>IFERROR(__xludf.DUMMYFUNCTION("""COMPUTED_VALUE"""),"")</f>
        <v/>
      </c>
      <c r="I811" s="20" t="s">
        <v>170</v>
      </c>
    </row>
    <row r="812" ht="15.75" customHeight="1">
      <c r="H812" s="20" t="str">
        <f>IFERROR(__xludf.DUMMYFUNCTION("""COMPUTED_VALUE"""),"")</f>
        <v/>
      </c>
      <c r="I812" s="20" t="s">
        <v>170</v>
      </c>
    </row>
    <row r="813" ht="15.75" customHeight="1">
      <c r="H813" s="20" t="str">
        <f>IFERROR(__xludf.DUMMYFUNCTION("""COMPUTED_VALUE"""),"")</f>
        <v/>
      </c>
      <c r="I813" s="20" t="s">
        <v>170</v>
      </c>
    </row>
    <row r="814" ht="15.75" customHeight="1">
      <c r="H814" s="20" t="str">
        <f>IFERROR(__xludf.DUMMYFUNCTION("""COMPUTED_VALUE"""),"")</f>
        <v/>
      </c>
      <c r="I814" s="20" t="s">
        <v>170</v>
      </c>
    </row>
    <row r="815" ht="15.75" customHeight="1">
      <c r="H815" s="20" t="str">
        <f>IFERROR(__xludf.DUMMYFUNCTION("""COMPUTED_VALUE"""),"")</f>
        <v/>
      </c>
      <c r="I815" s="20" t="s">
        <v>170</v>
      </c>
    </row>
    <row r="816" ht="15.75" customHeight="1">
      <c r="H816" s="20" t="str">
        <f>IFERROR(__xludf.DUMMYFUNCTION("""COMPUTED_VALUE"""),"")</f>
        <v/>
      </c>
      <c r="I816" s="20" t="s">
        <v>170</v>
      </c>
    </row>
    <row r="817" ht="15.75" customHeight="1">
      <c r="H817" s="20" t="str">
        <f>IFERROR(__xludf.DUMMYFUNCTION("""COMPUTED_VALUE"""),"")</f>
        <v/>
      </c>
      <c r="I817" s="20" t="s">
        <v>170</v>
      </c>
    </row>
    <row r="818" ht="15.75" customHeight="1">
      <c r="H818" s="20" t="str">
        <f>IFERROR(__xludf.DUMMYFUNCTION("""COMPUTED_VALUE"""),"")</f>
        <v/>
      </c>
      <c r="I818" s="20" t="s">
        <v>170</v>
      </c>
    </row>
    <row r="819" ht="15.75" customHeight="1">
      <c r="H819" s="20" t="str">
        <f>IFERROR(__xludf.DUMMYFUNCTION("""COMPUTED_VALUE"""),"")</f>
        <v/>
      </c>
      <c r="I819" s="20" t="s">
        <v>170</v>
      </c>
    </row>
    <row r="820" ht="15.75" customHeight="1">
      <c r="H820" s="20" t="str">
        <f>IFERROR(__xludf.DUMMYFUNCTION("""COMPUTED_VALUE"""),"")</f>
        <v/>
      </c>
      <c r="I820" s="20" t="s">
        <v>170</v>
      </c>
    </row>
    <row r="821" ht="15.75" customHeight="1">
      <c r="H821" s="20" t="str">
        <f>IFERROR(__xludf.DUMMYFUNCTION("""COMPUTED_VALUE"""),"")</f>
        <v/>
      </c>
      <c r="I821" s="20" t="s">
        <v>170</v>
      </c>
    </row>
    <row r="822" ht="15.75" customHeight="1">
      <c r="H822" s="20" t="str">
        <f>IFERROR(__xludf.DUMMYFUNCTION("""COMPUTED_VALUE"""),"")</f>
        <v/>
      </c>
      <c r="I822" s="20" t="s">
        <v>170</v>
      </c>
    </row>
    <row r="823" ht="15.75" customHeight="1">
      <c r="H823" s="20" t="str">
        <f>IFERROR(__xludf.DUMMYFUNCTION("""COMPUTED_VALUE"""),"")</f>
        <v/>
      </c>
      <c r="I823" s="20" t="s">
        <v>170</v>
      </c>
    </row>
    <row r="824" ht="15.75" customHeight="1">
      <c r="H824" s="20" t="str">
        <f>IFERROR(__xludf.DUMMYFUNCTION("""COMPUTED_VALUE"""),"")</f>
        <v/>
      </c>
      <c r="I824" s="20" t="s">
        <v>170</v>
      </c>
    </row>
    <row r="825" ht="15.75" customHeight="1">
      <c r="H825" s="20" t="str">
        <f>IFERROR(__xludf.DUMMYFUNCTION("""COMPUTED_VALUE"""),"")</f>
        <v/>
      </c>
      <c r="I825" s="20" t="s">
        <v>170</v>
      </c>
    </row>
    <row r="826" ht="15.75" customHeight="1">
      <c r="H826" s="20" t="str">
        <f>IFERROR(__xludf.DUMMYFUNCTION("""COMPUTED_VALUE"""),"")</f>
        <v/>
      </c>
      <c r="I826" s="20" t="s">
        <v>170</v>
      </c>
    </row>
    <row r="827" ht="15.75" customHeight="1">
      <c r="H827" s="20" t="str">
        <f>IFERROR(__xludf.DUMMYFUNCTION("""COMPUTED_VALUE"""),"")</f>
        <v/>
      </c>
      <c r="I827" s="20" t="s">
        <v>170</v>
      </c>
    </row>
    <row r="828" ht="15.75" customHeight="1">
      <c r="H828" s="20" t="str">
        <f>IFERROR(__xludf.DUMMYFUNCTION("""COMPUTED_VALUE"""),"")</f>
        <v/>
      </c>
      <c r="I828" s="20" t="s">
        <v>170</v>
      </c>
    </row>
    <row r="829" ht="15.75" customHeight="1">
      <c r="H829" s="20" t="str">
        <f>IFERROR(__xludf.DUMMYFUNCTION("""COMPUTED_VALUE"""),"")</f>
        <v/>
      </c>
      <c r="I829" s="20" t="s">
        <v>170</v>
      </c>
    </row>
    <row r="830" ht="15.75" customHeight="1">
      <c r="H830" s="20" t="str">
        <f>IFERROR(__xludf.DUMMYFUNCTION("""COMPUTED_VALUE"""),"")</f>
        <v/>
      </c>
      <c r="I830" s="20" t="s">
        <v>170</v>
      </c>
    </row>
    <row r="831" ht="15.75" customHeight="1">
      <c r="H831" s="20" t="str">
        <f>IFERROR(__xludf.DUMMYFUNCTION("""COMPUTED_VALUE"""),"")</f>
        <v/>
      </c>
      <c r="I831" s="20" t="s">
        <v>170</v>
      </c>
    </row>
    <row r="832" ht="15.75" customHeight="1">
      <c r="H832" s="20" t="str">
        <f>IFERROR(__xludf.DUMMYFUNCTION("""COMPUTED_VALUE"""),"")</f>
        <v/>
      </c>
      <c r="I832" s="20" t="s">
        <v>170</v>
      </c>
    </row>
    <row r="833" ht="15.75" customHeight="1">
      <c r="H833" s="20" t="str">
        <f>IFERROR(__xludf.DUMMYFUNCTION("""COMPUTED_VALUE"""),"")</f>
        <v/>
      </c>
      <c r="I833" s="20" t="s">
        <v>170</v>
      </c>
    </row>
    <row r="834" ht="15.75" customHeight="1">
      <c r="H834" s="20" t="str">
        <f>IFERROR(__xludf.DUMMYFUNCTION("""COMPUTED_VALUE"""),"")</f>
        <v/>
      </c>
      <c r="I834" s="20" t="s">
        <v>170</v>
      </c>
    </row>
    <row r="835" ht="15.75" customHeight="1">
      <c r="H835" s="20" t="str">
        <f>IFERROR(__xludf.DUMMYFUNCTION("""COMPUTED_VALUE"""),"")</f>
        <v/>
      </c>
      <c r="I835" s="20" t="s">
        <v>170</v>
      </c>
    </row>
    <row r="836" ht="15.75" customHeight="1">
      <c r="H836" s="20" t="str">
        <f>IFERROR(__xludf.DUMMYFUNCTION("""COMPUTED_VALUE"""),"")</f>
        <v/>
      </c>
      <c r="I836" s="20" t="s">
        <v>170</v>
      </c>
    </row>
    <row r="837" ht="15.75" customHeight="1">
      <c r="H837" s="20" t="str">
        <f>IFERROR(__xludf.DUMMYFUNCTION("""COMPUTED_VALUE"""),"")</f>
        <v/>
      </c>
      <c r="I837" s="20" t="s">
        <v>170</v>
      </c>
    </row>
    <row r="838" ht="15.75" customHeight="1">
      <c r="H838" s="20" t="str">
        <f>IFERROR(__xludf.DUMMYFUNCTION("""COMPUTED_VALUE"""),"")</f>
        <v/>
      </c>
      <c r="I838" s="20" t="s">
        <v>170</v>
      </c>
    </row>
    <row r="839" ht="15.75" customHeight="1">
      <c r="H839" s="20" t="str">
        <f>IFERROR(__xludf.DUMMYFUNCTION("""COMPUTED_VALUE"""),"")</f>
        <v/>
      </c>
      <c r="I839" s="20" t="s">
        <v>170</v>
      </c>
    </row>
    <row r="840" ht="15.75" customHeight="1">
      <c r="H840" s="20" t="str">
        <f>IFERROR(__xludf.DUMMYFUNCTION("""COMPUTED_VALUE"""),"")</f>
        <v/>
      </c>
      <c r="I840" s="20" t="s">
        <v>170</v>
      </c>
    </row>
    <row r="841" ht="15.75" customHeight="1">
      <c r="H841" s="20" t="str">
        <f>IFERROR(__xludf.DUMMYFUNCTION("""COMPUTED_VALUE"""),"")</f>
        <v/>
      </c>
      <c r="I841" s="20" t="s">
        <v>170</v>
      </c>
    </row>
    <row r="842" ht="15.75" customHeight="1">
      <c r="H842" s="20" t="str">
        <f>IFERROR(__xludf.DUMMYFUNCTION("""COMPUTED_VALUE"""),"")</f>
        <v/>
      </c>
      <c r="I842" s="20" t="s">
        <v>170</v>
      </c>
    </row>
    <row r="843" ht="15.75" customHeight="1">
      <c r="H843" s="20" t="str">
        <f>IFERROR(__xludf.DUMMYFUNCTION("""COMPUTED_VALUE"""),"")</f>
        <v/>
      </c>
      <c r="I843" s="20" t="s">
        <v>170</v>
      </c>
    </row>
    <row r="844" ht="15.75" customHeight="1">
      <c r="H844" s="20" t="str">
        <f>IFERROR(__xludf.DUMMYFUNCTION("""COMPUTED_VALUE"""),"")</f>
        <v/>
      </c>
      <c r="I844" s="20" t="s">
        <v>170</v>
      </c>
    </row>
    <row r="845" ht="15.75" customHeight="1">
      <c r="H845" s="20" t="str">
        <f>IFERROR(__xludf.DUMMYFUNCTION("""COMPUTED_VALUE"""),"")</f>
        <v/>
      </c>
      <c r="I845" s="20" t="s">
        <v>170</v>
      </c>
    </row>
    <row r="846" ht="15.75" customHeight="1">
      <c r="H846" s="20" t="str">
        <f>IFERROR(__xludf.DUMMYFUNCTION("""COMPUTED_VALUE"""),"")</f>
        <v/>
      </c>
      <c r="I846" s="20" t="s">
        <v>170</v>
      </c>
    </row>
    <row r="847" ht="15.75" customHeight="1">
      <c r="H847" s="20" t="str">
        <f>IFERROR(__xludf.DUMMYFUNCTION("""COMPUTED_VALUE"""),"")</f>
        <v/>
      </c>
      <c r="I847" s="20" t="s">
        <v>170</v>
      </c>
    </row>
    <row r="848" ht="15.75" customHeight="1">
      <c r="H848" s="20" t="str">
        <f>IFERROR(__xludf.DUMMYFUNCTION("""COMPUTED_VALUE"""),"")</f>
        <v/>
      </c>
      <c r="I848" s="20" t="s">
        <v>170</v>
      </c>
    </row>
    <row r="849" ht="15.75" customHeight="1">
      <c r="H849" s="20" t="str">
        <f>IFERROR(__xludf.DUMMYFUNCTION("""COMPUTED_VALUE"""),"")</f>
        <v/>
      </c>
      <c r="I849" s="20" t="s">
        <v>170</v>
      </c>
    </row>
    <row r="850" ht="15.75" customHeight="1">
      <c r="H850" s="20" t="str">
        <f>IFERROR(__xludf.DUMMYFUNCTION("""COMPUTED_VALUE"""),"")</f>
        <v/>
      </c>
      <c r="I850" s="20" t="s">
        <v>170</v>
      </c>
    </row>
    <row r="851" ht="15.75" customHeight="1">
      <c r="H851" s="20" t="str">
        <f>IFERROR(__xludf.DUMMYFUNCTION("""COMPUTED_VALUE"""),"")</f>
        <v/>
      </c>
      <c r="I851" s="20" t="s">
        <v>170</v>
      </c>
    </row>
    <row r="852" ht="15.75" customHeight="1">
      <c r="H852" s="20" t="str">
        <f>IFERROR(__xludf.DUMMYFUNCTION("""COMPUTED_VALUE"""),"")</f>
        <v/>
      </c>
      <c r="I852" s="20" t="s">
        <v>170</v>
      </c>
    </row>
    <row r="853" ht="15.75" customHeight="1">
      <c r="H853" s="20" t="str">
        <f>IFERROR(__xludf.DUMMYFUNCTION("""COMPUTED_VALUE"""),"")</f>
        <v/>
      </c>
      <c r="I853" s="20" t="s">
        <v>170</v>
      </c>
    </row>
    <row r="854" ht="15.75" customHeight="1">
      <c r="H854" s="20" t="str">
        <f>IFERROR(__xludf.DUMMYFUNCTION("""COMPUTED_VALUE"""),"")</f>
        <v/>
      </c>
      <c r="I854" s="20" t="s">
        <v>170</v>
      </c>
    </row>
    <row r="855" ht="15.75" customHeight="1">
      <c r="H855" s="20" t="str">
        <f>IFERROR(__xludf.DUMMYFUNCTION("""COMPUTED_VALUE"""),"")</f>
        <v/>
      </c>
      <c r="I855" s="20" t="s">
        <v>170</v>
      </c>
    </row>
    <row r="856" ht="15.75" customHeight="1">
      <c r="H856" s="20" t="str">
        <f>IFERROR(__xludf.DUMMYFUNCTION("""COMPUTED_VALUE"""),"")</f>
        <v/>
      </c>
      <c r="I856" s="20" t="s">
        <v>170</v>
      </c>
    </row>
    <row r="857" ht="15.75" customHeight="1">
      <c r="H857" s="20" t="str">
        <f>IFERROR(__xludf.DUMMYFUNCTION("""COMPUTED_VALUE"""),"")</f>
        <v/>
      </c>
      <c r="I857" s="20" t="s">
        <v>170</v>
      </c>
    </row>
    <row r="858" ht="15.75" customHeight="1">
      <c r="H858" s="20" t="str">
        <f>IFERROR(__xludf.DUMMYFUNCTION("""COMPUTED_VALUE"""),"")</f>
        <v/>
      </c>
      <c r="I858" s="20" t="s">
        <v>170</v>
      </c>
    </row>
    <row r="859" ht="15.75" customHeight="1">
      <c r="H859" s="20" t="str">
        <f>IFERROR(__xludf.DUMMYFUNCTION("""COMPUTED_VALUE"""),"")</f>
        <v/>
      </c>
      <c r="I859" s="20" t="s">
        <v>170</v>
      </c>
    </row>
    <row r="860" ht="15.75" customHeight="1">
      <c r="H860" s="20" t="str">
        <f>IFERROR(__xludf.DUMMYFUNCTION("""COMPUTED_VALUE"""),"")</f>
        <v/>
      </c>
      <c r="I860" s="20" t="s">
        <v>170</v>
      </c>
    </row>
    <row r="861" ht="15.75" customHeight="1">
      <c r="H861" s="20" t="str">
        <f>IFERROR(__xludf.DUMMYFUNCTION("""COMPUTED_VALUE"""),"")</f>
        <v/>
      </c>
      <c r="I861" s="20" t="s">
        <v>170</v>
      </c>
    </row>
    <row r="862" ht="15.75" customHeight="1">
      <c r="H862" s="20" t="str">
        <f>IFERROR(__xludf.DUMMYFUNCTION("""COMPUTED_VALUE"""),"")</f>
        <v/>
      </c>
      <c r="I862" s="20" t="s">
        <v>170</v>
      </c>
    </row>
    <row r="863" ht="15.75" customHeight="1">
      <c r="H863" s="20" t="str">
        <f>IFERROR(__xludf.DUMMYFUNCTION("""COMPUTED_VALUE"""),"")</f>
        <v/>
      </c>
      <c r="I863" s="20" t="s">
        <v>170</v>
      </c>
    </row>
    <row r="864" ht="15.75" customHeight="1">
      <c r="H864" s="20" t="str">
        <f>IFERROR(__xludf.DUMMYFUNCTION("""COMPUTED_VALUE"""),"")</f>
        <v/>
      </c>
      <c r="I864" s="20" t="s">
        <v>170</v>
      </c>
    </row>
    <row r="865" ht="15.75" customHeight="1">
      <c r="H865" s="20" t="str">
        <f>IFERROR(__xludf.DUMMYFUNCTION("""COMPUTED_VALUE"""),"")</f>
        <v/>
      </c>
      <c r="I865" s="20" t="s">
        <v>170</v>
      </c>
    </row>
    <row r="866" ht="15.75" customHeight="1">
      <c r="H866" s="20" t="str">
        <f>IFERROR(__xludf.DUMMYFUNCTION("""COMPUTED_VALUE"""),"")</f>
        <v/>
      </c>
      <c r="I866" s="20" t="s">
        <v>170</v>
      </c>
    </row>
    <row r="867" ht="15.75" customHeight="1">
      <c r="H867" s="20" t="str">
        <f>IFERROR(__xludf.DUMMYFUNCTION("""COMPUTED_VALUE"""),"")</f>
        <v/>
      </c>
      <c r="I867" s="20" t="s">
        <v>170</v>
      </c>
    </row>
    <row r="868" ht="15.75" customHeight="1">
      <c r="H868" s="20" t="str">
        <f>IFERROR(__xludf.DUMMYFUNCTION("""COMPUTED_VALUE"""),"")</f>
        <v/>
      </c>
      <c r="I868" s="20" t="s">
        <v>170</v>
      </c>
    </row>
    <row r="869" ht="15.75" customHeight="1">
      <c r="H869" s="20" t="str">
        <f>IFERROR(__xludf.DUMMYFUNCTION("""COMPUTED_VALUE"""),"")</f>
        <v/>
      </c>
      <c r="I869" s="20" t="s">
        <v>170</v>
      </c>
    </row>
    <row r="870" ht="15.75" customHeight="1">
      <c r="H870" s="20" t="str">
        <f>IFERROR(__xludf.DUMMYFUNCTION("""COMPUTED_VALUE"""),"")</f>
        <v/>
      </c>
      <c r="I870" s="20" t="s">
        <v>170</v>
      </c>
    </row>
    <row r="871" ht="15.75" customHeight="1">
      <c r="H871" s="20" t="str">
        <f>IFERROR(__xludf.DUMMYFUNCTION("""COMPUTED_VALUE"""),"")</f>
        <v/>
      </c>
      <c r="I871" s="20" t="s">
        <v>170</v>
      </c>
    </row>
    <row r="872" ht="15.75" customHeight="1">
      <c r="H872" s="20" t="str">
        <f>IFERROR(__xludf.DUMMYFUNCTION("""COMPUTED_VALUE"""),"")</f>
        <v/>
      </c>
      <c r="I872" s="20" t="s">
        <v>170</v>
      </c>
    </row>
    <row r="873" ht="15.75" customHeight="1">
      <c r="H873" s="20" t="str">
        <f>IFERROR(__xludf.DUMMYFUNCTION("""COMPUTED_VALUE"""),"")</f>
        <v/>
      </c>
      <c r="I873" s="20" t="s">
        <v>170</v>
      </c>
    </row>
    <row r="874" ht="15.75" customHeight="1">
      <c r="H874" s="20" t="str">
        <f>IFERROR(__xludf.DUMMYFUNCTION("""COMPUTED_VALUE"""),"")</f>
        <v/>
      </c>
      <c r="I874" s="20" t="s">
        <v>170</v>
      </c>
    </row>
    <row r="875" ht="15.75" customHeight="1">
      <c r="H875" s="20" t="str">
        <f>IFERROR(__xludf.DUMMYFUNCTION("""COMPUTED_VALUE"""),"")</f>
        <v/>
      </c>
      <c r="I875" s="20" t="s">
        <v>170</v>
      </c>
    </row>
    <row r="876" ht="15.75" customHeight="1">
      <c r="H876" s="20" t="str">
        <f>IFERROR(__xludf.DUMMYFUNCTION("""COMPUTED_VALUE"""),"")</f>
        <v/>
      </c>
      <c r="I876" s="20" t="s">
        <v>170</v>
      </c>
    </row>
    <row r="877" ht="15.75" customHeight="1">
      <c r="H877" s="20" t="str">
        <f>IFERROR(__xludf.DUMMYFUNCTION("""COMPUTED_VALUE"""),"")</f>
        <v/>
      </c>
      <c r="I877" s="20" t="s">
        <v>170</v>
      </c>
    </row>
    <row r="878" ht="15.75" customHeight="1">
      <c r="H878" s="20" t="str">
        <f>IFERROR(__xludf.DUMMYFUNCTION("""COMPUTED_VALUE"""),"")</f>
        <v/>
      </c>
      <c r="I878" s="20" t="s">
        <v>170</v>
      </c>
    </row>
    <row r="879" ht="15.75" customHeight="1">
      <c r="H879" s="20" t="str">
        <f>IFERROR(__xludf.DUMMYFUNCTION("""COMPUTED_VALUE"""),"")</f>
        <v/>
      </c>
      <c r="I879" s="20" t="s">
        <v>170</v>
      </c>
    </row>
    <row r="880" ht="15.75" customHeight="1">
      <c r="H880" s="20" t="str">
        <f>IFERROR(__xludf.DUMMYFUNCTION("""COMPUTED_VALUE"""),"")</f>
        <v/>
      </c>
      <c r="I880" s="20" t="s">
        <v>170</v>
      </c>
    </row>
    <row r="881" ht="15.75" customHeight="1">
      <c r="H881" s="20" t="str">
        <f>IFERROR(__xludf.DUMMYFUNCTION("""COMPUTED_VALUE"""),"")</f>
        <v/>
      </c>
      <c r="I881" s="20" t="s">
        <v>170</v>
      </c>
    </row>
    <row r="882" ht="15.75" customHeight="1">
      <c r="H882" s="20" t="str">
        <f>IFERROR(__xludf.DUMMYFUNCTION("""COMPUTED_VALUE"""),"")</f>
        <v/>
      </c>
      <c r="I882" s="20" t="s">
        <v>170</v>
      </c>
    </row>
    <row r="883" ht="15.75" customHeight="1">
      <c r="H883" s="20" t="str">
        <f>IFERROR(__xludf.DUMMYFUNCTION("""COMPUTED_VALUE"""),"")</f>
        <v/>
      </c>
      <c r="I883" s="20" t="s">
        <v>170</v>
      </c>
    </row>
    <row r="884" ht="15.75" customHeight="1">
      <c r="H884" s="20" t="str">
        <f>IFERROR(__xludf.DUMMYFUNCTION("""COMPUTED_VALUE"""),"")</f>
        <v/>
      </c>
      <c r="I884" s="20" t="s">
        <v>170</v>
      </c>
    </row>
    <row r="885" ht="15.75" customHeight="1">
      <c r="H885" s="20" t="str">
        <f>IFERROR(__xludf.DUMMYFUNCTION("""COMPUTED_VALUE"""),"")</f>
        <v/>
      </c>
      <c r="I885" s="20" t="s">
        <v>170</v>
      </c>
    </row>
    <row r="886" ht="15.75" customHeight="1">
      <c r="H886" s="20" t="str">
        <f>IFERROR(__xludf.DUMMYFUNCTION("""COMPUTED_VALUE"""),"")</f>
        <v/>
      </c>
      <c r="I886" s="20" t="s">
        <v>170</v>
      </c>
    </row>
    <row r="887" ht="15.75" customHeight="1">
      <c r="H887" s="20" t="str">
        <f>IFERROR(__xludf.DUMMYFUNCTION("""COMPUTED_VALUE"""),"")</f>
        <v/>
      </c>
      <c r="I887" s="20" t="s">
        <v>170</v>
      </c>
    </row>
    <row r="888" ht="15.75" customHeight="1">
      <c r="H888" s="20" t="str">
        <f>IFERROR(__xludf.DUMMYFUNCTION("""COMPUTED_VALUE"""),"")</f>
        <v/>
      </c>
      <c r="I888" s="20" t="s">
        <v>170</v>
      </c>
    </row>
    <row r="889" ht="15.75" customHeight="1">
      <c r="H889" s="20" t="str">
        <f>IFERROR(__xludf.DUMMYFUNCTION("""COMPUTED_VALUE"""),"")</f>
        <v/>
      </c>
      <c r="I889" s="20" t="s">
        <v>170</v>
      </c>
    </row>
    <row r="890" ht="15.75" customHeight="1">
      <c r="H890" s="20" t="str">
        <f>IFERROR(__xludf.DUMMYFUNCTION("""COMPUTED_VALUE"""),"")</f>
        <v/>
      </c>
      <c r="I890" s="20" t="s">
        <v>170</v>
      </c>
    </row>
    <row r="891" ht="15.75" customHeight="1">
      <c r="H891" s="20" t="str">
        <f>IFERROR(__xludf.DUMMYFUNCTION("""COMPUTED_VALUE"""),"")</f>
        <v/>
      </c>
      <c r="I891" s="20" t="s">
        <v>170</v>
      </c>
    </row>
    <row r="892" ht="15.75" customHeight="1">
      <c r="H892" s="20" t="str">
        <f>IFERROR(__xludf.DUMMYFUNCTION("""COMPUTED_VALUE"""),"")</f>
        <v/>
      </c>
      <c r="I892" s="20" t="s">
        <v>170</v>
      </c>
    </row>
    <row r="893" ht="15.75" customHeight="1">
      <c r="H893" s="20" t="str">
        <f>IFERROR(__xludf.DUMMYFUNCTION("""COMPUTED_VALUE"""),"")</f>
        <v/>
      </c>
      <c r="I893" s="20" t="s">
        <v>170</v>
      </c>
    </row>
    <row r="894" ht="15.75" customHeight="1">
      <c r="H894" s="20" t="str">
        <f>IFERROR(__xludf.DUMMYFUNCTION("""COMPUTED_VALUE"""),"")</f>
        <v/>
      </c>
      <c r="I894" s="20" t="s">
        <v>170</v>
      </c>
    </row>
    <row r="895" ht="15.75" customHeight="1">
      <c r="H895" s="20" t="str">
        <f>IFERROR(__xludf.DUMMYFUNCTION("""COMPUTED_VALUE"""),"")</f>
        <v/>
      </c>
      <c r="I895" s="20" t="s">
        <v>170</v>
      </c>
    </row>
    <row r="896" ht="15.75" customHeight="1">
      <c r="H896" s="20" t="str">
        <f>IFERROR(__xludf.DUMMYFUNCTION("""COMPUTED_VALUE"""),"")</f>
        <v/>
      </c>
      <c r="I896" s="20" t="s">
        <v>170</v>
      </c>
    </row>
    <row r="897" ht="15.75" customHeight="1">
      <c r="H897" s="20" t="str">
        <f>IFERROR(__xludf.DUMMYFUNCTION("""COMPUTED_VALUE"""),"")</f>
        <v/>
      </c>
      <c r="I897" s="20" t="s">
        <v>170</v>
      </c>
    </row>
    <row r="898" ht="15.75" customHeight="1">
      <c r="H898" s="20" t="str">
        <f>IFERROR(__xludf.DUMMYFUNCTION("""COMPUTED_VALUE"""),"")</f>
        <v/>
      </c>
      <c r="I898" s="20" t="s">
        <v>170</v>
      </c>
    </row>
    <row r="899" ht="15.75" customHeight="1">
      <c r="H899" s="20" t="str">
        <f>IFERROR(__xludf.DUMMYFUNCTION("""COMPUTED_VALUE"""),"")</f>
        <v/>
      </c>
      <c r="I899" s="20" t="s">
        <v>170</v>
      </c>
    </row>
    <row r="900" ht="15.75" customHeight="1">
      <c r="H900" s="20" t="str">
        <f>IFERROR(__xludf.DUMMYFUNCTION("""COMPUTED_VALUE"""),"")</f>
        <v/>
      </c>
      <c r="I900" s="20" t="s">
        <v>170</v>
      </c>
    </row>
    <row r="901" ht="15.75" customHeight="1">
      <c r="H901" s="20" t="str">
        <f>IFERROR(__xludf.DUMMYFUNCTION("""COMPUTED_VALUE"""),"")</f>
        <v/>
      </c>
      <c r="I901" s="20" t="s">
        <v>170</v>
      </c>
    </row>
    <row r="902" ht="15.75" customHeight="1">
      <c r="H902" s="20" t="str">
        <f>IFERROR(__xludf.DUMMYFUNCTION("""COMPUTED_VALUE"""),"")</f>
        <v/>
      </c>
      <c r="I902" s="20" t="s">
        <v>170</v>
      </c>
    </row>
    <row r="903" ht="15.75" customHeight="1">
      <c r="H903" s="20" t="str">
        <f>IFERROR(__xludf.DUMMYFUNCTION("""COMPUTED_VALUE"""),"")</f>
        <v/>
      </c>
      <c r="I903" s="20" t="s">
        <v>170</v>
      </c>
    </row>
    <row r="904" ht="15.75" customHeight="1">
      <c r="H904" s="20" t="str">
        <f>IFERROR(__xludf.DUMMYFUNCTION("""COMPUTED_VALUE"""),"")</f>
        <v/>
      </c>
      <c r="I904" s="20" t="s">
        <v>170</v>
      </c>
    </row>
    <row r="905" ht="15.75" customHeight="1">
      <c r="H905" s="20" t="str">
        <f>IFERROR(__xludf.DUMMYFUNCTION("""COMPUTED_VALUE"""),"")</f>
        <v/>
      </c>
      <c r="I905" s="20" t="s">
        <v>170</v>
      </c>
    </row>
    <row r="906" ht="15.75" customHeight="1">
      <c r="H906" s="20" t="str">
        <f>IFERROR(__xludf.DUMMYFUNCTION("""COMPUTED_VALUE"""),"")</f>
        <v/>
      </c>
      <c r="I906" s="20" t="s">
        <v>170</v>
      </c>
    </row>
    <row r="907" ht="15.75" customHeight="1">
      <c r="H907" s="20" t="str">
        <f>IFERROR(__xludf.DUMMYFUNCTION("""COMPUTED_VALUE"""),"")</f>
        <v/>
      </c>
      <c r="I907" s="20" t="s">
        <v>170</v>
      </c>
    </row>
    <row r="908" ht="15.75" customHeight="1">
      <c r="H908" s="20" t="str">
        <f>IFERROR(__xludf.DUMMYFUNCTION("""COMPUTED_VALUE"""),"")</f>
        <v/>
      </c>
      <c r="I908" s="20" t="s">
        <v>170</v>
      </c>
    </row>
    <row r="909" ht="15.75" customHeight="1">
      <c r="H909" s="20" t="str">
        <f>IFERROR(__xludf.DUMMYFUNCTION("""COMPUTED_VALUE"""),"")</f>
        <v/>
      </c>
      <c r="I909" s="20" t="s">
        <v>170</v>
      </c>
    </row>
    <row r="910" ht="15.75" customHeight="1">
      <c r="H910" s="20" t="str">
        <f>IFERROR(__xludf.DUMMYFUNCTION("""COMPUTED_VALUE"""),"")</f>
        <v/>
      </c>
      <c r="I910" s="20" t="s">
        <v>170</v>
      </c>
    </row>
    <row r="911" ht="15.75" customHeight="1">
      <c r="H911" s="20" t="str">
        <f>IFERROR(__xludf.DUMMYFUNCTION("""COMPUTED_VALUE"""),"")</f>
        <v/>
      </c>
      <c r="I911" s="20" t="s">
        <v>170</v>
      </c>
    </row>
    <row r="912" ht="15.75" customHeight="1">
      <c r="H912" s="20" t="str">
        <f>IFERROR(__xludf.DUMMYFUNCTION("""COMPUTED_VALUE"""),"")</f>
        <v/>
      </c>
      <c r="I912" s="20" t="s">
        <v>170</v>
      </c>
    </row>
    <row r="913" ht="15.75" customHeight="1">
      <c r="H913" s="20" t="str">
        <f>IFERROR(__xludf.DUMMYFUNCTION("""COMPUTED_VALUE"""),"")</f>
        <v/>
      </c>
      <c r="I913" s="20" t="s">
        <v>170</v>
      </c>
    </row>
    <row r="914" ht="15.75" customHeight="1">
      <c r="H914" s="20" t="str">
        <f>IFERROR(__xludf.DUMMYFUNCTION("""COMPUTED_VALUE"""),"")</f>
        <v/>
      </c>
      <c r="I914" s="20" t="s">
        <v>170</v>
      </c>
    </row>
    <row r="915" ht="15.75" customHeight="1">
      <c r="H915" s="20" t="str">
        <f>IFERROR(__xludf.DUMMYFUNCTION("""COMPUTED_VALUE"""),"")</f>
        <v/>
      </c>
      <c r="I915" s="20" t="s">
        <v>170</v>
      </c>
    </row>
    <row r="916" ht="15.75" customHeight="1">
      <c r="H916" s="20" t="str">
        <f>IFERROR(__xludf.DUMMYFUNCTION("""COMPUTED_VALUE"""),"")</f>
        <v/>
      </c>
      <c r="I916" s="20" t="s">
        <v>170</v>
      </c>
    </row>
    <row r="917" ht="15.75" customHeight="1">
      <c r="H917" s="20" t="str">
        <f>IFERROR(__xludf.DUMMYFUNCTION("""COMPUTED_VALUE"""),"")</f>
        <v/>
      </c>
      <c r="I917" s="20" t="s">
        <v>170</v>
      </c>
    </row>
    <row r="918" ht="15.75" customHeight="1">
      <c r="H918" s="20" t="str">
        <f>IFERROR(__xludf.DUMMYFUNCTION("""COMPUTED_VALUE"""),"")</f>
        <v/>
      </c>
      <c r="I918" s="20" t="s">
        <v>170</v>
      </c>
    </row>
    <row r="919" ht="15.75" customHeight="1">
      <c r="H919" s="20" t="str">
        <f>IFERROR(__xludf.DUMMYFUNCTION("""COMPUTED_VALUE"""),"")</f>
        <v/>
      </c>
      <c r="I919" s="20" t="s">
        <v>170</v>
      </c>
    </row>
    <row r="920" ht="15.75" customHeight="1">
      <c r="H920" s="20" t="str">
        <f>IFERROR(__xludf.DUMMYFUNCTION("""COMPUTED_VALUE"""),"")</f>
        <v/>
      </c>
      <c r="I920" s="20" t="s">
        <v>170</v>
      </c>
    </row>
    <row r="921" ht="15.75" customHeight="1">
      <c r="H921" s="20" t="str">
        <f>IFERROR(__xludf.DUMMYFUNCTION("""COMPUTED_VALUE"""),"")</f>
        <v/>
      </c>
      <c r="I921" s="20" t="s">
        <v>170</v>
      </c>
    </row>
    <row r="922" ht="15.75" customHeight="1">
      <c r="H922" s="20" t="str">
        <f>IFERROR(__xludf.DUMMYFUNCTION("""COMPUTED_VALUE"""),"")</f>
        <v/>
      </c>
      <c r="I922" s="20" t="s">
        <v>170</v>
      </c>
    </row>
    <row r="923" ht="15.75" customHeight="1">
      <c r="H923" s="20" t="str">
        <f>IFERROR(__xludf.DUMMYFUNCTION("""COMPUTED_VALUE"""),"")</f>
        <v/>
      </c>
      <c r="I923" s="20" t="s">
        <v>170</v>
      </c>
    </row>
    <row r="924" ht="15.75" customHeight="1">
      <c r="H924" s="20" t="str">
        <f>IFERROR(__xludf.DUMMYFUNCTION("""COMPUTED_VALUE"""),"")</f>
        <v/>
      </c>
      <c r="I924" s="20" t="s">
        <v>170</v>
      </c>
    </row>
    <row r="925" ht="15.75" customHeight="1">
      <c r="H925" s="20" t="str">
        <f>IFERROR(__xludf.DUMMYFUNCTION("""COMPUTED_VALUE"""),"")</f>
        <v/>
      </c>
      <c r="I925" s="20" t="s">
        <v>170</v>
      </c>
    </row>
    <row r="926" ht="15.75" customHeight="1">
      <c r="H926" s="20" t="str">
        <f>IFERROR(__xludf.DUMMYFUNCTION("""COMPUTED_VALUE"""),"")</f>
        <v/>
      </c>
      <c r="I926" s="20" t="s">
        <v>170</v>
      </c>
    </row>
    <row r="927" ht="15.75" customHeight="1">
      <c r="H927" s="20" t="str">
        <f>IFERROR(__xludf.DUMMYFUNCTION("""COMPUTED_VALUE"""),"")</f>
        <v/>
      </c>
      <c r="I927" s="20" t="s">
        <v>170</v>
      </c>
    </row>
    <row r="928" ht="15.75" customHeight="1">
      <c r="H928" s="20" t="str">
        <f>IFERROR(__xludf.DUMMYFUNCTION("""COMPUTED_VALUE"""),"")</f>
        <v/>
      </c>
      <c r="I928" s="20" t="s">
        <v>170</v>
      </c>
    </row>
    <row r="929" ht="15.75" customHeight="1">
      <c r="H929" s="20" t="str">
        <f>IFERROR(__xludf.DUMMYFUNCTION("""COMPUTED_VALUE"""),"")</f>
        <v/>
      </c>
      <c r="I929" s="20" t="s">
        <v>170</v>
      </c>
    </row>
    <row r="930" ht="15.75" customHeight="1">
      <c r="H930" s="20" t="str">
        <f>IFERROR(__xludf.DUMMYFUNCTION("""COMPUTED_VALUE"""),"")</f>
        <v/>
      </c>
      <c r="I930" s="20" t="s">
        <v>170</v>
      </c>
    </row>
    <row r="931" ht="15.75" customHeight="1">
      <c r="H931" s="20" t="str">
        <f>IFERROR(__xludf.DUMMYFUNCTION("""COMPUTED_VALUE"""),"")</f>
        <v/>
      </c>
      <c r="I931" s="20" t="s">
        <v>170</v>
      </c>
    </row>
    <row r="932" ht="15.75" customHeight="1">
      <c r="H932" s="20" t="str">
        <f>IFERROR(__xludf.DUMMYFUNCTION("""COMPUTED_VALUE"""),"")</f>
        <v/>
      </c>
      <c r="I932" s="20" t="s">
        <v>170</v>
      </c>
    </row>
    <row r="933" ht="15.75" customHeight="1">
      <c r="H933" s="20" t="str">
        <f>IFERROR(__xludf.DUMMYFUNCTION("""COMPUTED_VALUE"""),"")</f>
        <v/>
      </c>
      <c r="I933" s="20" t="s">
        <v>170</v>
      </c>
    </row>
    <row r="934" ht="15.75" customHeight="1">
      <c r="H934" s="20" t="str">
        <f>IFERROR(__xludf.DUMMYFUNCTION("""COMPUTED_VALUE"""),"")</f>
        <v/>
      </c>
      <c r="I934" s="20" t="s">
        <v>170</v>
      </c>
    </row>
    <row r="935" ht="15.75" customHeight="1">
      <c r="H935" s="20" t="str">
        <f>IFERROR(__xludf.DUMMYFUNCTION("""COMPUTED_VALUE"""),"")</f>
        <v/>
      </c>
      <c r="I935" s="20" t="s">
        <v>170</v>
      </c>
    </row>
    <row r="936" ht="15.75" customHeight="1">
      <c r="H936" s="20" t="str">
        <f>IFERROR(__xludf.DUMMYFUNCTION("""COMPUTED_VALUE"""),"")</f>
        <v/>
      </c>
      <c r="I936" s="20" t="s">
        <v>170</v>
      </c>
    </row>
    <row r="937" ht="15.75" customHeight="1">
      <c r="H937" s="20" t="str">
        <f>IFERROR(__xludf.DUMMYFUNCTION("""COMPUTED_VALUE"""),"")</f>
        <v/>
      </c>
      <c r="I937" s="20" t="s">
        <v>170</v>
      </c>
    </row>
    <row r="938" ht="15.75" customHeight="1">
      <c r="H938" s="20" t="str">
        <f>IFERROR(__xludf.DUMMYFUNCTION("""COMPUTED_VALUE"""),"")</f>
        <v/>
      </c>
      <c r="I938" s="20" t="s">
        <v>170</v>
      </c>
    </row>
    <row r="939" ht="15.75" customHeight="1">
      <c r="H939" s="20" t="str">
        <f>IFERROR(__xludf.DUMMYFUNCTION("""COMPUTED_VALUE"""),"")</f>
        <v/>
      </c>
      <c r="I939" s="20" t="s">
        <v>170</v>
      </c>
    </row>
    <row r="940" ht="15.75" customHeight="1">
      <c r="H940" s="20" t="str">
        <f>IFERROR(__xludf.DUMMYFUNCTION("""COMPUTED_VALUE"""),"")</f>
        <v/>
      </c>
      <c r="I940" s="20" t="s">
        <v>170</v>
      </c>
    </row>
    <row r="941" ht="15.75" customHeight="1">
      <c r="H941" s="20" t="str">
        <f>IFERROR(__xludf.DUMMYFUNCTION("""COMPUTED_VALUE"""),"")</f>
        <v/>
      </c>
      <c r="I941" s="20" t="s">
        <v>170</v>
      </c>
    </row>
    <row r="942" ht="15.75" customHeight="1">
      <c r="H942" s="20" t="str">
        <f>IFERROR(__xludf.DUMMYFUNCTION("""COMPUTED_VALUE"""),"")</f>
        <v/>
      </c>
      <c r="I942" s="20" t="s">
        <v>170</v>
      </c>
    </row>
    <row r="943" ht="15.75" customHeight="1">
      <c r="H943" s="20" t="str">
        <f>IFERROR(__xludf.DUMMYFUNCTION("""COMPUTED_VALUE"""),"")</f>
        <v/>
      </c>
      <c r="I943" s="20" t="s">
        <v>170</v>
      </c>
    </row>
    <row r="944" ht="15.75" customHeight="1">
      <c r="H944" s="20" t="str">
        <f>IFERROR(__xludf.DUMMYFUNCTION("""COMPUTED_VALUE"""),"")</f>
        <v/>
      </c>
      <c r="I944" s="20" t="s">
        <v>170</v>
      </c>
    </row>
    <row r="945" ht="15.75" customHeight="1">
      <c r="H945" s="20" t="str">
        <f>IFERROR(__xludf.DUMMYFUNCTION("""COMPUTED_VALUE"""),"")</f>
        <v/>
      </c>
      <c r="I945" s="20" t="s">
        <v>170</v>
      </c>
    </row>
    <row r="946" ht="15.75" customHeight="1">
      <c r="H946" s="20" t="str">
        <f>IFERROR(__xludf.DUMMYFUNCTION("""COMPUTED_VALUE"""),"")</f>
        <v/>
      </c>
      <c r="I946" s="20" t="s">
        <v>170</v>
      </c>
    </row>
    <row r="947" ht="15.75" customHeight="1">
      <c r="H947" s="20" t="str">
        <f>IFERROR(__xludf.DUMMYFUNCTION("""COMPUTED_VALUE"""),"")</f>
        <v/>
      </c>
      <c r="I947" s="20" t="s">
        <v>170</v>
      </c>
    </row>
    <row r="948" ht="15.75" customHeight="1">
      <c r="H948" s="20" t="str">
        <f>IFERROR(__xludf.DUMMYFUNCTION("""COMPUTED_VALUE"""),"")</f>
        <v/>
      </c>
      <c r="I948" s="20" t="s">
        <v>170</v>
      </c>
    </row>
    <row r="949" ht="15.75" customHeight="1">
      <c r="H949" s="20" t="str">
        <f>IFERROR(__xludf.DUMMYFUNCTION("""COMPUTED_VALUE"""),"")</f>
        <v/>
      </c>
      <c r="I949" s="20" t="s">
        <v>170</v>
      </c>
    </row>
    <row r="950" ht="15.75" customHeight="1">
      <c r="H950" s="20" t="str">
        <f>IFERROR(__xludf.DUMMYFUNCTION("""COMPUTED_VALUE"""),"")</f>
        <v/>
      </c>
      <c r="I950" s="20" t="s">
        <v>170</v>
      </c>
    </row>
    <row r="951" ht="15.75" customHeight="1">
      <c r="H951" s="20" t="str">
        <f>IFERROR(__xludf.DUMMYFUNCTION("""COMPUTED_VALUE"""),"")</f>
        <v/>
      </c>
      <c r="I951" s="20" t="s">
        <v>170</v>
      </c>
    </row>
    <row r="952" ht="15.75" customHeight="1">
      <c r="H952" s="20" t="str">
        <f>IFERROR(__xludf.DUMMYFUNCTION("""COMPUTED_VALUE"""),"")</f>
        <v/>
      </c>
      <c r="I952" s="20" t="s">
        <v>170</v>
      </c>
    </row>
    <row r="953" ht="15.75" customHeight="1">
      <c r="H953" s="20" t="str">
        <f>IFERROR(__xludf.DUMMYFUNCTION("""COMPUTED_VALUE"""),"")</f>
        <v/>
      </c>
      <c r="I953" s="20" t="s">
        <v>170</v>
      </c>
    </row>
    <row r="954" ht="15.75" customHeight="1">
      <c r="H954" s="20" t="str">
        <f>IFERROR(__xludf.DUMMYFUNCTION("""COMPUTED_VALUE"""),"")</f>
        <v/>
      </c>
      <c r="I954" s="20" t="s">
        <v>170</v>
      </c>
    </row>
    <row r="955" ht="15.75" customHeight="1">
      <c r="H955" s="20" t="str">
        <f>IFERROR(__xludf.DUMMYFUNCTION("""COMPUTED_VALUE"""),"")</f>
        <v/>
      </c>
      <c r="I955" s="20" t="s">
        <v>170</v>
      </c>
    </row>
    <row r="956" ht="15.75" customHeight="1">
      <c r="H956" s="20" t="str">
        <f>IFERROR(__xludf.DUMMYFUNCTION("""COMPUTED_VALUE"""),"")</f>
        <v/>
      </c>
      <c r="I956" s="20" t="s">
        <v>170</v>
      </c>
    </row>
    <row r="957" ht="15.75" customHeight="1">
      <c r="H957" s="20" t="str">
        <f>IFERROR(__xludf.DUMMYFUNCTION("""COMPUTED_VALUE"""),"")</f>
        <v/>
      </c>
      <c r="I957" s="20" t="s">
        <v>170</v>
      </c>
    </row>
    <row r="958" ht="15.75" customHeight="1">
      <c r="H958" s="20" t="str">
        <f>IFERROR(__xludf.DUMMYFUNCTION("""COMPUTED_VALUE"""),"")</f>
        <v/>
      </c>
      <c r="I958" s="20" t="s">
        <v>170</v>
      </c>
    </row>
    <row r="959" ht="15.75" customHeight="1">
      <c r="H959" s="20" t="str">
        <f>IFERROR(__xludf.DUMMYFUNCTION("""COMPUTED_VALUE"""),"")</f>
        <v/>
      </c>
      <c r="I959" s="20" t="s">
        <v>170</v>
      </c>
    </row>
    <row r="960" ht="15.75" customHeight="1">
      <c r="H960" s="20" t="str">
        <f>IFERROR(__xludf.DUMMYFUNCTION("""COMPUTED_VALUE"""),"")</f>
        <v/>
      </c>
      <c r="I960" s="20" t="s">
        <v>170</v>
      </c>
    </row>
    <row r="961" ht="15.75" customHeight="1">
      <c r="H961" s="20" t="str">
        <f>IFERROR(__xludf.DUMMYFUNCTION("""COMPUTED_VALUE"""),"")</f>
        <v/>
      </c>
      <c r="I961" s="20" t="s">
        <v>170</v>
      </c>
    </row>
    <row r="962" ht="15.75" customHeight="1">
      <c r="H962" s="20" t="str">
        <f>IFERROR(__xludf.DUMMYFUNCTION("""COMPUTED_VALUE"""),"")</f>
        <v/>
      </c>
      <c r="I962" s="20" t="s">
        <v>170</v>
      </c>
    </row>
    <row r="963" ht="15.75" customHeight="1">
      <c r="H963" s="20" t="str">
        <f>IFERROR(__xludf.DUMMYFUNCTION("""COMPUTED_VALUE"""),"")</f>
        <v/>
      </c>
      <c r="I963" s="20" t="s">
        <v>170</v>
      </c>
    </row>
    <row r="964" ht="15.75" customHeight="1">
      <c r="H964" s="20" t="str">
        <f>IFERROR(__xludf.DUMMYFUNCTION("""COMPUTED_VALUE"""),"")</f>
        <v/>
      </c>
      <c r="I964" s="20" t="s">
        <v>170</v>
      </c>
    </row>
    <row r="965" ht="15.75" customHeight="1">
      <c r="H965" s="20" t="str">
        <f>IFERROR(__xludf.DUMMYFUNCTION("""COMPUTED_VALUE"""),"")</f>
        <v/>
      </c>
      <c r="I965" s="20" t="s">
        <v>170</v>
      </c>
    </row>
    <row r="966" ht="15.75" customHeight="1">
      <c r="H966" s="20" t="str">
        <f>IFERROR(__xludf.DUMMYFUNCTION("""COMPUTED_VALUE"""),"")</f>
        <v/>
      </c>
      <c r="I966" s="20" t="s">
        <v>170</v>
      </c>
    </row>
    <row r="967" ht="15.75" customHeight="1">
      <c r="H967" s="20" t="str">
        <f>IFERROR(__xludf.DUMMYFUNCTION("""COMPUTED_VALUE"""),"")</f>
        <v/>
      </c>
      <c r="I967" s="20" t="s">
        <v>170</v>
      </c>
    </row>
    <row r="968" ht="15.75" customHeight="1">
      <c r="H968" s="20" t="str">
        <f>IFERROR(__xludf.DUMMYFUNCTION("""COMPUTED_VALUE"""),"")</f>
        <v/>
      </c>
      <c r="I968" s="20" t="s">
        <v>170</v>
      </c>
    </row>
    <row r="969" ht="15.75" customHeight="1">
      <c r="H969" s="20" t="str">
        <f>IFERROR(__xludf.DUMMYFUNCTION("""COMPUTED_VALUE"""),"")</f>
        <v/>
      </c>
      <c r="I969" s="20" t="s">
        <v>170</v>
      </c>
    </row>
    <row r="970" ht="15.75" customHeight="1">
      <c r="H970" s="20" t="str">
        <f>IFERROR(__xludf.DUMMYFUNCTION("""COMPUTED_VALUE"""),"")</f>
        <v/>
      </c>
      <c r="I970" s="20" t="s">
        <v>170</v>
      </c>
    </row>
    <row r="971" ht="15.75" customHeight="1">
      <c r="H971" s="20" t="str">
        <f>IFERROR(__xludf.DUMMYFUNCTION("""COMPUTED_VALUE"""),"")</f>
        <v/>
      </c>
      <c r="I971" s="20" t="s">
        <v>170</v>
      </c>
    </row>
    <row r="972" ht="15.75" customHeight="1">
      <c r="H972" s="20" t="str">
        <f>IFERROR(__xludf.DUMMYFUNCTION("""COMPUTED_VALUE"""),"")</f>
        <v/>
      </c>
      <c r="I972" s="20" t="s">
        <v>170</v>
      </c>
    </row>
    <row r="973" ht="15.75" customHeight="1">
      <c r="H973" s="20" t="str">
        <f>IFERROR(__xludf.DUMMYFUNCTION("""COMPUTED_VALUE"""),"")</f>
        <v/>
      </c>
      <c r="I973" s="20" t="s">
        <v>170</v>
      </c>
    </row>
    <row r="974" ht="15.75" customHeight="1">
      <c r="H974" s="20" t="str">
        <f>IFERROR(__xludf.DUMMYFUNCTION("""COMPUTED_VALUE"""),"")</f>
        <v/>
      </c>
      <c r="I974" s="20" t="s">
        <v>170</v>
      </c>
    </row>
    <row r="975" ht="15.75" customHeight="1">
      <c r="H975" s="20" t="str">
        <f>IFERROR(__xludf.DUMMYFUNCTION("""COMPUTED_VALUE"""),"")</f>
        <v/>
      </c>
      <c r="I975" s="20" t="s">
        <v>170</v>
      </c>
    </row>
    <row r="976" ht="15.75" customHeight="1">
      <c r="H976" s="20" t="str">
        <f>IFERROR(__xludf.DUMMYFUNCTION("""COMPUTED_VALUE"""),"")</f>
        <v/>
      </c>
      <c r="I976" s="20" t="s">
        <v>170</v>
      </c>
    </row>
    <row r="977" ht="15.75" customHeight="1">
      <c r="H977" s="20" t="str">
        <f>IFERROR(__xludf.DUMMYFUNCTION("""COMPUTED_VALUE"""),"")</f>
        <v/>
      </c>
      <c r="I977" s="20" t="s">
        <v>170</v>
      </c>
    </row>
    <row r="978" ht="15.75" customHeight="1">
      <c r="H978" s="20" t="str">
        <f>IFERROR(__xludf.DUMMYFUNCTION("""COMPUTED_VALUE"""),"")</f>
        <v/>
      </c>
      <c r="I978" s="20" t="s">
        <v>170</v>
      </c>
    </row>
    <row r="979" ht="15.75" customHeight="1">
      <c r="H979" s="20" t="str">
        <f>IFERROR(__xludf.DUMMYFUNCTION("""COMPUTED_VALUE"""),"")</f>
        <v/>
      </c>
      <c r="I979" s="20" t="s">
        <v>170</v>
      </c>
    </row>
    <row r="980" ht="15.75" customHeight="1">
      <c r="H980" s="20" t="str">
        <f>IFERROR(__xludf.DUMMYFUNCTION("""COMPUTED_VALUE"""),"")</f>
        <v/>
      </c>
      <c r="I980" s="20" t="s">
        <v>170</v>
      </c>
    </row>
    <row r="981" ht="15.75" customHeight="1">
      <c r="H981" s="20" t="str">
        <f>IFERROR(__xludf.DUMMYFUNCTION("""COMPUTED_VALUE"""),"")</f>
        <v/>
      </c>
      <c r="I981" s="20" t="s">
        <v>170</v>
      </c>
    </row>
    <row r="982" ht="15.75" customHeight="1">
      <c r="H982" s="20" t="str">
        <f>IFERROR(__xludf.DUMMYFUNCTION("""COMPUTED_VALUE"""),"")</f>
        <v/>
      </c>
      <c r="I982" s="20" t="s">
        <v>170</v>
      </c>
    </row>
    <row r="983" ht="15.75" customHeight="1">
      <c r="H983" s="20" t="str">
        <f>IFERROR(__xludf.DUMMYFUNCTION("""COMPUTED_VALUE"""),"")</f>
        <v/>
      </c>
      <c r="I983" s="20" t="s">
        <v>170</v>
      </c>
    </row>
    <row r="984" ht="15.75" customHeight="1">
      <c r="H984" s="20" t="str">
        <f>IFERROR(__xludf.DUMMYFUNCTION("""COMPUTED_VALUE"""),"")</f>
        <v/>
      </c>
      <c r="I984" s="20" t="s">
        <v>170</v>
      </c>
    </row>
    <row r="985" ht="15.75" customHeight="1">
      <c r="H985" s="20" t="str">
        <f>IFERROR(__xludf.DUMMYFUNCTION("""COMPUTED_VALUE"""),"")</f>
        <v/>
      </c>
      <c r="I985" s="20" t="s">
        <v>170</v>
      </c>
    </row>
    <row r="986" ht="15.75" customHeight="1">
      <c r="H986" s="20" t="str">
        <f>IFERROR(__xludf.DUMMYFUNCTION("""COMPUTED_VALUE"""),"")</f>
        <v/>
      </c>
      <c r="I986" s="20" t="s">
        <v>170</v>
      </c>
    </row>
    <row r="987" ht="15.75" customHeight="1">
      <c r="H987" s="20" t="str">
        <f>IFERROR(__xludf.DUMMYFUNCTION("""COMPUTED_VALUE"""),"")</f>
        <v/>
      </c>
      <c r="I987" s="20" t="s">
        <v>170</v>
      </c>
    </row>
    <row r="988" ht="15.75" customHeight="1">
      <c r="H988" s="20" t="str">
        <f>IFERROR(__xludf.DUMMYFUNCTION("""COMPUTED_VALUE"""),"")</f>
        <v/>
      </c>
      <c r="I988" s="20" t="s">
        <v>170</v>
      </c>
    </row>
    <row r="989" ht="15.75" customHeight="1">
      <c r="H989" s="20" t="str">
        <f>IFERROR(__xludf.DUMMYFUNCTION("""COMPUTED_VALUE"""),"")</f>
        <v/>
      </c>
      <c r="I989" s="20" t="s">
        <v>170</v>
      </c>
    </row>
    <row r="990" ht="15.75" customHeight="1">
      <c r="H990" s="20" t="str">
        <f>IFERROR(__xludf.DUMMYFUNCTION("""COMPUTED_VALUE"""),"")</f>
        <v/>
      </c>
      <c r="I990" s="20" t="s">
        <v>170</v>
      </c>
    </row>
    <row r="991" ht="15.75" customHeight="1">
      <c r="H991" s="20" t="str">
        <f>IFERROR(__xludf.DUMMYFUNCTION("""COMPUTED_VALUE"""),"")</f>
        <v/>
      </c>
      <c r="I991" s="20" t="s">
        <v>170</v>
      </c>
    </row>
    <row r="992" ht="15.75" customHeight="1">
      <c r="H992" s="20" t="str">
        <f>IFERROR(__xludf.DUMMYFUNCTION("""COMPUTED_VALUE"""),"")</f>
        <v/>
      </c>
      <c r="I992" s="20" t="s">
        <v>170</v>
      </c>
    </row>
    <row r="993" ht="15.75" customHeight="1">
      <c r="H993" s="20" t="str">
        <f>IFERROR(__xludf.DUMMYFUNCTION("""COMPUTED_VALUE"""),"")</f>
        <v/>
      </c>
      <c r="I993" s="20" t="s">
        <v>170</v>
      </c>
    </row>
    <row r="994" ht="15.75" customHeight="1">
      <c r="H994" s="20" t="str">
        <f>IFERROR(__xludf.DUMMYFUNCTION("""COMPUTED_VALUE"""),"")</f>
        <v/>
      </c>
      <c r="I994" s="20" t="s">
        <v>170</v>
      </c>
    </row>
    <row r="995" ht="15.75" customHeight="1">
      <c r="H995" s="20" t="str">
        <f>IFERROR(__xludf.DUMMYFUNCTION("""COMPUTED_VALUE"""),"")</f>
        <v/>
      </c>
      <c r="I995" s="20" t="s">
        <v>170</v>
      </c>
    </row>
    <row r="996" ht="15.75" customHeight="1">
      <c r="H996" s="20" t="str">
        <f>IFERROR(__xludf.DUMMYFUNCTION("""COMPUTED_VALUE"""),"")</f>
        <v/>
      </c>
      <c r="I996" s="20" t="s">
        <v>170</v>
      </c>
    </row>
    <row r="997" ht="15.75" customHeight="1">
      <c r="H997" s="20" t="str">
        <f>IFERROR(__xludf.DUMMYFUNCTION("""COMPUTED_VALUE"""),"")</f>
        <v/>
      </c>
      <c r="I997" s="20" t="s">
        <v>170</v>
      </c>
    </row>
    <row r="998" ht="15.75" customHeight="1">
      <c r="H998" s="20" t="str">
        <f>IFERROR(__xludf.DUMMYFUNCTION("""COMPUTED_VALUE"""),"")</f>
        <v/>
      </c>
      <c r="I998" s="20" t="s">
        <v>170</v>
      </c>
    </row>
    <row r="999" ht="15.75" customHeight="1">
      <c r="H999" s="20" t="str">
        <f>IFERROR(__xludf.DUMMYFUNCTION("""COMPUTED_VALUE"""),"")</f>
        <v/>
      </c>
      <c r="I999" s="20" t="s">
        <v>170</v>
      </c>
    </row>
    <row r="1000" ht="15.75" customHeight="1">
      <c r="H1000" s="20" t="str">
        <f>IFERROR(__xludf.DUMMYFUNCTION("""COMPUTED_VALUE"""),"")</f>
        <v/>
      </c>
      <c r="I1000" s="20" t="s">
        <v>170</v>
      </c>
    </row>
    <row r="1001" ht="15.75" customHeight="1">
      <c r="H1001" s="20" t="str">
        <f>IFERROR(__xludf.DUMMYFUNCTION("""COMPUTED_VALUE"""),"")</f>
        <v/>
      </c>
      <c r="I1001" s="20" t="s">
        <v>170</v>
      </c>
    </row>
    <row r="1002" ht="15.75" customHeight="1">
      <c r="H1002" s="20" t="str">
        <f>IFERROR(__xludf.DUMMYFUNCTION("""COMPUTED_VALUE"""),"")</f>
        <v/>
      </c>
      <c r="I1002" s="20" t="s">
        <v>170</v>
      </c>
    </row>
    <row r="1003" ht="15.75" customHeight="1">
      <c r="H1003" s="20" t="str">
        <f>IFERROR(__xludf.DUMMYFUNCTION("""COMPUTED_VALUE"""),"")</f>
        <v/>
      </c>
      <c r="I1003" s="20" t="s">
        <v>170</v>
      </c>
    </row>
    <row r="1004" ht="15.75" customHeight="1">
      <c r="H1004" s="20" t="str">
        <f>IFERROR(__xludf.DUMMYFUNCTION("""COMPUTED_VALUE"""),"")</f>
        <v/>
      </c>
      <c r="I1004" s="20" t="s">
        <v>170</v>
      </c>
    </row>
    <row r="1005" ht="15.75" customHeight="1">
      <c r="H1005" s="20" t="str">
        <f>IFERROR(__xludf.DUMMYFUNCTION("""COMPUTED_VALUE"""),"")</f>
        <v/>
      </c>
      <c r="I1005" s="20" t="s">
        <v>170</v>
      </c>
    </row>
    <row r="1006" ht="15.75" customHeight="1">
      <c r="H1006" s="20" t="str">
        <f>IFERROR(__xludf.DUMMYFUNCTION("""COMPUTED_VALUE"""),"")</f>
        <v/>
      </c>
      <c r="I1006" s="20" t="s">
        <v>170</v>
      </c>
    </row>
    <row r="1007" ht="15.75" customHeight="1">
      <c r="H1007" s="20" t="str">
        <f>IFERROR(__xludf.DUMMYFUNCTION("""COMPUTED_VALUE"""),"")</f>
        <v/>
      </c>
      <c r="I1007" s="20" t="s">
        <v>170</v>
      </c>
    </row>
    <row r="1008" ht="15.75" customHeight="1">
      <c r="H1008" s="20" t="str">
        <f>IFERROR(__xludf.DUMMYFUNCTION("""COMPUTED_VALUE"""),"")</f>
        <v/>
      </c>
      <c r="I1008" s="20" t="s">
        <v>170</v>
      </c>
    </row>
    <row r="1009" ht="15.75" customHeight="1">
      <c r="H1009" s="20" t="str">
        <f>IFERROR(__xludf.DUMMYFUNCTION("""COMPUTED_VALUE"""),"")</f>
        <v/>
      </c>
      <c r="I1009" s="20" t="s">
        <v>170</v>
      </c>
    </row>
    <row r="1010" ht="15.75" customHeight="1">
      <c r="H1010" s="20" t="str">
        <f>IFERROR(__xludf.DUMMYFUNCTION("""COMPUTED_VALUE"""),"")</f>
        <v/>
      </c>
      <c r="I1010" s="20" t="s">
        <v>170</v>
      </c>
    </row>
    <row r="1011" ht="15.75" customHeight="1">
      <c r="H1011" s="20" t="str">
        <f>IFERROR(__xludf.DUMMYFUNCTION("""COMPUTED_VALUE"""),"")</f>
        <v/>
      </c>
      <c r="I1011" s="20" t="s">
        <v>170</v>
      </c>
    </row>
    <row r="1012" ht="15.75" customHeight="1">
      <c r="H1012" s="20" t="str">
        <f>IFERROR(__xludf.DUMMYFUNCTION("""COMPUTED_VALUE"""),"")</f>
        <v/>
      </c>
      <c r="I1012" s="20" t="s">
        <v>170</v>
      </c>
    </row>
    <row r="1013" ht="15.75" customHeight="1">
      <c r="H1013" s="20" t="str">
        <f>IFERROR(__xludf.DUMMYFUNCTION("""COMPUTED_VALUE"""),"")</f>
        <v/>
      </c>
      <c r="I1013" s="20" t="s">
        <v>170</v>
      </c>
    </row>
    <row r="1014" ht="15.75" customHeight="1">
      <c r="H1014" s="20" t="str">
        <f>IFERROR(__xludf.DUMMYFUNCTION("""COMPUTED_VALUE"""),"")</f>
        <v/>
      </c>
      <c r="I1014" s="20" t="s">
        <v>170</v>
      </c>
    </row>
    <row r="1015" ht="15.75" customHeight="1">
      <c r="H1015" s="20" t="str">
        <f>IFERROR(__xludf.DUMMYFUNCTION("""COMPUTED_VALUE"""),"")</f>
        <v/>
      </c>
      <c r="I1015" s="20" t="s">
        <v>170</v>
      </c>
    </row>
    <row r="1016" ht="15.75" customHeight="1">
      <c r="H1016" s="20" t="str">
        <f>IFERROR(__xludf.DUMMYFUNCTION("""COMPUTED_VALUE"""),"")</f>
        <v/>
      </c>
      <c r="I1016" s="20" t="s">
        <v>170</v>
      </c>
    </row>
    <row r="1017" ht="15.75" customHeight="1">
      <c r="H1017" s="20" t="str">
        <f>IFERROR(__xludf.DUMMYFUNCTION("""COMPUTED_VALUE"""),"")</f>
        <v/>
      </c>
      <c r="I1017" s="20" t="s">
        <v>170</v>
      </c>
    </row>
    <row r="1018" ht="15.75" customHeight="1">
      <c r="H1018" s="20" t="str">
        <f>IFERROR(__xludf.DUMMYFUNCTION("""COMPUTED_VALUE"""),"")</f>
        <v/>
      </c>
      <c r="I1018" s="20" t="s">
        <v>170</v>
      </c>
    </row>
    <row r="1019" ht="15.75" customHeight="1">
      <c r="H1019" s="20" t="str">
        <f>IFERROR(__xludf.DUMMYFUNCTION("""COMPUTED_VALUE"""),"")</f>
        <v/>
      </c>
      <c r="I1019" s="20" t="s">
        <v>170</v>
      </c>
    </row>
    <row r="1020" ht="15.75" customHeight="1">
      <c r="H1020" s="20" t="str">
        <f>IFERROR(__xludf.DUMMYFUNCTION("""COMPUTED_VALUE"""),"")</f>
        <v/>
      </c>
      <c r="I1020" s="20" t="s">
        <v>170</v>
      </c>
    </row>
    <row r="1021" ht="15.75" customHeight="1">
      <c r="H1021" s="20" t="str">
        <f>IFERROR(__xludf.DUMMYFUNCTION("""COMPUTED_VALUE"""),"")</f>
        <v/>
      </c>
      <c r="I1021" s="20" t="s">
        <v>170</v>
      </c>
    </row>
    <row r="1022" ht="15.75" customHeight="1">
      <c r="H1022" s="20" t="str">
        <f>IFERROR(__xludf.DUMMYFUNCTION("""COMPUTED_VALUE"""),"")</f>
        <v/>
      </c>
      <c r="I1022" s="20" t="s">
        <v>170</v>
      </c>
    </row>
    <row r="1023" ht="15.75" customHeight="1">
      <c r="H1023" s="20" t="str">
        <f>IFERROR(__xludf.DUMMYFUNCTION("""COMPUTED_VALUE"""),"")</f>
        <v/>
      </c>
      <c r="I1023" s="20" t="s">
        <v>170</v>
      </c>
    </row>
    <row r="1024" ht="15.75" customHeight="1">
      <c r="H1024" s="20" t="str">
        <f>IFERROR(__xludf.DUMMYFUNCTION("""COMPUTED_VALUE"""),"")</f>
        <v/>
      </c>
      <c r="I1024" s="20" t="s">
        <v>170</v>
      </c>
    </row>
    <row r="1025" ht="15.75" customHeight="1">
      <c r="H1025" s="20" t="str">
        <f>IFERROR(__xludf.DUMMYFUNCTION("""COMPUTED_VALUE"""),"")</f>
        <v/>
      </c>
      <c r="I1025" s="20" t="s">
        <v>170</v>
      </c>
    </row>
    <row r="1026" ht="15.75" customHeight="1">
      <c r="H1026" s="20" t="str">
        <f>IFERROR(__xludf.DUMMYFUNCTION("""COMPUTED_VALUE"""),"")</f>
        <v/>
      </c>
      <c r="I1026" s="20" t="s">
        <v>170</v>
      </c>
    </row>
    <row r="1027" ht="15.75" customHeight="1">
      <c r="H1027" s="20" t="str">
        <f>IFERROR(__xludf.DUMMYFUNCTION("""COMPUTED_VALUE"""),"")</f>
        <v/>
      </c>
      <c r="I1027" s="20" t="s">
        <v>170</v>
      </c>
    </row>
    <row r="1028" ht="15.75" customHeight="1">
      <c r="H1028" s="20" t="str">
        <f>IFERROR(__xludf.DUMMYFUNCTION("""COMPUTED_VALUE"""),"")</f>
        <v/>
      </c>
      <c r="I1028" s="20" t="s">
        <v>170</v>
      </c>
    </row>
    <row r="1029" ht="15.75" customHeight="1">
      <c r="H1029" s="20" t="str">
        <f>IFERROR(__xludf.DUMMYFUNCTION("""COMPUTED_VALUE"""),"")</f>
        <v/>
      </c>
      <c r="I1029" s="20" t="s">
        <v>170</v>
      </c>
    </row>
    <row r="1030" ht="15.75" customHeight="1">
      <c r="H1030" s="20" t="str">
        <f>IFERROR(__xludf.DUMMYFUNCTION("""COMPUTED_VALUE"""),"")</f>
        <v/>
      </c>
      <c r="I1030" s="20" t="s">
        <v>170</v>
      </c>
    </row>
    <row r="1031" ht="15.75" customHeight="1">
      <c r="H1031" s="20" t="str">
        <f>IFERROR(__xludf.DUMMYFUNCTION("""COMPUTED_VALUE"""),"")</f>
        <v/>
      </c>
      <c r="I1031" s="20" t="s">
        <v>170</v>
      </c>
    </row>
    <row r="1032" ht="15.75" customHeight="1">
      <c r="H1032" s="20" t="str">
        <f>IFERROR(__xludf.DUMMYFUNCTION("""COMPUTED_VALUE"""),"")</f>
        <v/>
      </c>
      <c r="I1032" s="20" t="s">
        <v>170</v>
      </c>
    </row>
    <row r="1033" ht="15.75" customHeight="1">
      <c r="H1033" s="20" t="str">
        <f>IFERROR(__xludf.DUMMYFUNCTION("""COMPUTED_VALUE"""),"")</f>
        <v/>
      </c>
      <c r="I1033" s="20" t="s">
        <v>170</v>
      </c>
    </row>
    <row r="1034" ht="15.75" customHeight="1">
      <c r="H1034" s="20" t="str">
        <f>IFERROR(__xludf.DUMMYFUNCTION("""COMPUTED_VALUE"""),"")</f>
        <v/>
      </c>
      <c r="I1034" s="20" t="s">
        <v>170</v>
      </c>
    </row>
    <row r="1035" ht="15.75" customHeight="1">
      <c r="H1035" s="20" t="str">
        <f>IFERROR(__xludf.DUMMYFUNCTION("""COMPUTED_VALUE"""),"")</f>
        <v/>
      </c>
      <c r="I1035" s="20" t="s">
        <v>170</v>
      </c>
    </row>
    <row r="1036" ht="15.75" customHeight="1">
      <c r="H1036" s="20" t="str">
        <f>IFERROR(__xludf.DUMMYFUNCTION("""COMPUTED_VALUE"""),"")</f>
        <v/>
      </c>
      <c r="I1036" s="20" t="s">
        <v>170</v>
      </c>
    </row>
    <row r="1037" ht="15.75" customHeight="1">
      <c r="H1037" s="20" t="str">
        <f>IFERROR(__xludf.DUMMYFUNCTION("""COMPUTED_VALUE"""),"")</f>
        <v/>
      </c>
      <c r="I1037" s="20" t="s">
        <v>170</v>
      </c>
    </row>
    <row r="1038" ht="15.75" customHeight="1">
      <c r="H1038" s="20" t="str">
        <f>IFERROR(__xludf.DUMMYFUNCTION("""COMPUTED_VALUE"""),"")</f>
        <v/>
      </c>
      <c r="I1038" s="20" t="s">
        <v>170</v>
      </c>
    </row>
    <row r="1039" ht="15.75" customHeight="1">
      <c r="H1039" s="20" t="str">
        <f>IFERROR(__xludf.DUMMYFUNCTION("""COMPUTED_VALUE"""),"")</f>
        <v/>
      </c>
      <c r="I1039" s="20" t="s">
        <v>170</v>
      </c>
    </row>
    <row r="1040" ht="15.75" customHeight="1">
      <c r="H1040" s="20" t="str">
        <f>IFERROR(__xludf.DUMMYFUNCTION("""COMPUTED_VALUE"""),"")</f>
        <v/>
      </c>
      <c r="I1040" s="20" t="s">
        <v>170</v>
      </c>
    </row>
    <row r="1041" ht="15.75" customHeight="1">
      <c r="H1041" s="20" t="str">
        <f>IFERROR(__xludf.DUMMYFUNCTION("""COMPUTED_VALUE"""),"")</f>
        <v/>
      </c>
      <c r="I1041" s="20" t="s">
        <v>170</v>
      </c>
    </row>
    <row r="1042" ht="15.75" customHeight="1">
      <c r="H1042" s="20" t="str">
        <f>IFERROR(__xludf.DUMMYFUNCTION("""COMPUTED_VALUE"""),"")</f>
        <v/>
      </c>
      <c r="I1042" s="20" t="s">
        <v>170</v>
      </c>
    </row>
    <row r="1043" ht="15.75" customHeight="1">
      <c r="H1043" s="20" t="str">
        <f>IFERROR(__xludf.DUMMYFUNCTION("""COMPUTED_VALUE"""),"")</f>
        <v/>
      </c>
      <c r="I1043" s="20" t="s">
        <v>170</v>
      </c>
    </row>
  </sheetData>
  <hyperlinks>
    <hyperlink r:id="rId1" ref="K2"/>
    <hyperlink r:id="rId2" ref="L2"/>
    <hyperlink r:id="rId3" ref="M2"/>
    <hyperlink r:id="rId4" ref="K3"/>
    <hyperlink r:id="rId5" ref="L3"/>
    <hyperlink r:id="rId6" ref="M3"/>
    <hyperlink r:id="rId7" ref="K4"/>
    <hyperlink r:id="rId8" ref="L4"/>
    <hyperlink r:id="rId9" ref="M4"/>
    <hyperlink r:id="rId10" ref="K5"/>
    <hyperlink r:id="rId11" ref="L5"/>
    <hyperlink r:id="rId12" ref="M5"/>
    <hyperlink r:id="rId13" ref="K6"/>
    <hyperlink r:id="rId14" ref="L6"/>
    <hyperlink r:id="rId15" ref="M6"/>
    <hyperlink r:id="rId16" ref="K7"/>
    <hyperlink r:id="rId17" ref="L7"/>
    <hyperlink r:id="rId18" ref="M7"/>
    <hyperlink r:id="rId19" ref="K8"/>
    <hyperlink r:id="rId20" ref="L8"/>
    <hyperlink r:id="rId21" ref="M8"/>
    <hyperlink r:id="rId22" ref="K9"/>
    <hyperlink r:id="rId23" ref="L9"/>
    <hyperlink r:id="rId24" ref="M9"/>
    <hyperlink r:id="rId25" ref="K10"/>
    <hyperlink r:id="rId26" ref="L10"/>
    <hyperlink r:id="rId27" ref="M10"/>
    <hyperlink r:id="rId28" ref="K11"/>
    <hyperlink r:id="rId29" ref="L11"/>
    <hyperlink r:id="rId30" ref="M11"/>
    <hyperlink r:id="rId31" ref="K12"/>
    <hyperlink r:id="rId32" ref="L12"/>
    <hyperlink r:id="rId33" ref="M12"/>
    <hyperlink r:id="rId34" ref="K13"/>
    <hyperlink r:id="rId35" ref="K14"/>
    <hyperlink r:id="rId36" ref="L14"/>
    <hyperlink r:id="rId37" ref="M14"/>
    <hyperlink r:id="rId38" ref="K15"/>
    <hyperlink r:id="rId39" ref="L15"/>
    <hyperlink r:id="rId40" ref="M15"/>
    <hyperlink r:id="rId41" ref="K16"/>
    <hyperlink r:id="rId42" ref="L16"/>
    <hyperlink r:id="rId43" ref="K18"/>
    <hyperlink r:id="rId44" ref="K19"/>
    <hyperlink r:id="rId45" ref="K20"/>
    <hyperlink r:id="rId46" ref="K21"/>
    <hyperlink r:id="rId47" ref="K23"/>
    <hyperlink r:id="rId48" ref="K24"/>
    <hyperlink r:id="rId49" ref="K25"/>
    <hyperlink r:id="rId50" ref="K26"/>
    <hyperlink r:id="rId51" ref="K27"/>
    <hyperlink r:id="rId52" ref="K28"/>
    <hyperlink r:id="rId53" ref="K29"/>
    <hyperlink r:id="rId54" ref="K30"/>
    <hyperlink r:id="rId55" ref="K31"/>
    <hyperlink r:id="rId56" ref="K32"/>
    <hyperlink r:id="rId57" ref="K33"/>
    <hyperlink r:id="rId58" ref="K34"/>
    <hyperlink r:id="rId59" ref="K35"/>
    <hyperlink r:id="rId60" ref="K36"/>
    <hyperlink r:id="rId61" ref="K37"/>
    <hyperlink r:id="rId62" ref="K38"/>
    <hyperlink r:id="rId63" ref="K39"/>
    <hyperlink r:id="rId64" ref="K40"/>
    <hyperlink r:id="rId65" ref="K41"/>
    <hyperlink r:id="rId66" ref="K42"/>
    <hyperlink r:id="rId67" ref="K43"/>
    <hyperlink r:id="rId68" ref="K44"/>
    <hyperlink r:id="rId69" ref="K45"/>
    <hyperlink r:id="rId70" ref="K46"/>
    <hyperlink r:id="rId71" ref="K47"/>
    <hyperlink r:id="rId72" ref="K48"/>
    <hyperlink r:id="rId73" ref="K49"/>
    <hyperlink r:id="rId74" ref="K50"/>
    <hyperlink r:id="rId75" ref="K51"/>
    <hyperlink r:id="rId76" ref="K52"/>
    <hyperlink r:id="rId77" ref="K53"/>
    <hyperlink r:id="rId78" ref="K54"/>
    <hyperlink r:id="rId79" ref="K55"/>
    <hyperlink r:id="rId80" ref="K56"/>
    <hyperlink r:id="rId81" ref="K57"/>
    <hyperlink r:id="rId82" ref="K58"/>
    <hyperlink r:id="rId83" ref="K59"/>
    <hyperlink r:id="rId84" ref="K60"/>
    <hyperlink r:id="rId85" ref="K61"/>
    <hyperlink r:id="rId86" ref="K62"/>
    <hyperlink r:id="rId87" ref="K63"/>
    <hyperlink r:id="rId88" ref="K64"/>
    <hyperlink r:id="rId89" ref="K65"/>
    <hyperlink r:id="rId90" ref="K66"/>
    <hyperlink r:id="rId91" ref="K67"/>
    <hyperlink r:id="rId92" ref="K68"/>
    <hyperlink r:id="rId93" ref="K69"/>
    <hyperlink r:id="rId94" ref="K70"/>
    <hyperlink r:id="rId95" ref="K71"/>
    <hyperlink r:id="rId96" ref="K72"/>
    <hyperlink r:id="rId97" ref="K73"/>
    <hyperlink r:id="rId98" ref="K74"/>
    <hyperlink r:id="rId99" ref="K75"/>
    <hyperlink r:id="rId100" ref="K76"/>
    <hyperlink r:id="rId101" ref="K77"/>
    <hyperlink r:id="rId102" ref="K78"/>
    <hyperlink r:id="rId103" ref="K79"/>
    <hyperlink r:id="rId104" ref="K80"/>
    <hyperlink r:id="rId105" ref="K81"/>
    <hyperlink r:id="rId106" ref="K82"/>
    <hyperlink r:id="rId107" ref="K83"/>
    <hyperlink r:id="rId108" ref="K84"/>
    <hyperlink r:id="rId109" ref="K86"/>
    <hyperlink r:id="rId110" ref="L86"/>
    <hyperlink r:id="rId111" ref="M86"/>
    <hyperlink r:id="rId112" ref="K87"/>
    <hyperlink r:id="rId113" ref="L87"/>
    <hyperlink r:id="rId114" ref="K88"/>
    <hyperlink r:id="rId115" ref="L88"/>
    <hyperlink r:id="rId116" ref="M88"/>
    <hyperlink r:id="rId117" ref="K90"/>
    <hyperlink r:id="rId118" ref="L90"/>
    <hyperlink r:id="rId119" ref="M90"/>
    <hyperlink r:id="rId120" ref="K91"/>
    <hyperlink r:id="rId121" ref="L91"/>
    <hyperlink r:id="rId122" ref="M91"/>
    <hyperlink r:id="rId123" ref="K92"/>
    <hyperlink r:id="rId124" ref="L92"/>
    <hyperlink r:id="rId125" ref="M92"/>
    <hyperlink r:id="rId126" ref="K93"/>
    <hyperlink r:id="rId127" ref="L93"/>
    <hyperlink r:id="rId128" ref="M93"/>
    <hyperlink r:id="rId129" ref="K94"/>
    <hyperlink r:id="rId130" ref="L94"/>
    <hyperlink r:id="rId131" ref="M94"/>
    <hyperlink r:id="rId132" ref="K95"/>
    <hyperlink r:id="rId133" ref="L95"/>
    <hyperlink r:id="rId134" ref="M95"/>
    <hyperlink r:id="rId135" ref="K96"/>
    <hyperlink r:id="rId136" ref="L96"/>
    <hyperlink r:id="rId137" ref="M96"/>
    <hyperlink r:id="rId138" ref="K97"/>
    <hyperlink r:id="rId139" ref="L97"/>
    <hyperlink r:id="rId140" ref="M97"/>
    <hyperlink r:id="rId141" ref="K98"/>
    <hyperlink r:id="rId142" ref="L98"/>
    <hyperlink r:id="rId143" ref="M98"/>
    <hyperlink r:id="rId144" ref="K99"/>
    <hyperlink r:id="rId145" ref="L99"/>
    <hyperlink r:id="rId146" ref="M99"/>
    <hyperlink r:id="rId147" ref="K100"/>
    <hyperlink r:id="rId148" ref="M100"/>
    <hyperlink r:id="rId149" ref="K101"/>
    <hyperlink r:id="rId150" ref="L101"/>
    <hyperlink r:id="rId151" ref="M101"/>
    <hyperlink r:id="rId152" ref="K102"/>
    <hyperlink r:id="rId153" ref="L102"/>
    <hyperlink r:id="rId154" ref="M102"/>
    <hyperlink r:id="rId155" ref="L103"/>
    <hyperlink r:id="rId156" ref="M103"/>
    <hyperlink r:id="rId157" ref="K104"/>
    <hyperlink r:id="rId158" ref="L104"/>
    <hyperlink r:id="rId159" ref="M104"/>
    <hyperlink r:id="rId160" ref="K105"/>
    <hyperlink r:id="rId161" ref="L105"/>
    <hyperlink r:id="rId162" ref="M105"/>
    <hyperlink r:id="rId163" ref="K106"/>
    <hyperlink r:id="rId164" ref="L106"/>
    <hyperlink r:id="rId165" ref="K107"/>
    <hyperlink r:id="rId166" ref="L107"/>
    <hyperlink r:id="rId167" ref="M107"/>
    <hyperlink r:id="rId168" ref="K108"/>
    <hyperlink r:id="rId169" ref="L108"/>
    <hyperlink r:id="rId170" ref="M108"/>
    <hyperlink r:id="rId171" ref="K109"/>
    <hyperlink r:id="rId172" ref="L109"/>
    <hyperlink r:id="rId173" ref="M109"/>
    <hyperlink r:id="rId174" ref="K110"/>
    <hyperlink r:id="rId175" ref="L110"/>
    <hyperlink r:id="rId176" ref="M110"/>
    <hyperlink r:id="rId177" ref="K111"/>
    <hyperlink r:id="rId178" ref="L111"/>
    <hyperlink r:id="rId179" ref="M111"/>
    <hyperlink r:id="rId180" ref="K112"/>
    <hyperlink r:id="rId181" ref="L112"/>
    <hyperlink r:id="rId182" ref="M112"/>
    <hyperlink r:id="rId183" ref="K113"/>
    <hyperlink r:id="rId184" ref="L113"/>
    <hyperlink r:id="rId185" ref="M113"/>
    <hyperlink r:id="rId186" ref="K114"/>
    <hyperlink r:id="rId187" ref="L114"/>
    <hyperlink r:id="rId188" ref="M114"/>
    <hyperlink r:id="rId189" ref="K115"/>
    <hyperlink r:id="rId190" ref="L115"/>
    <hyperlink r:id="rId191" ref="M115"/>
    <hyperlink r:id="rId192" ref="K116"/>
    <hyperlink r:id="rId193" ref="L116"/>
    <hyperlink r:id="rId194" ref="M116"/>
    <hyperlink r:id="rId195" ref="K117"/>
    <hyperlink r:id="rId196" ref="L117"/>
    <hyperlink r:id="rId197" ref="M117"/>
    <hyperlink r:id="rId198" ref="K118"/>
    <hyperlink r:id="rId199" ref="L118"/>
    <hyperlink r:id="rId200" ref="M118"/>
    <hyperlink r:id="rId201" ref="K119"/>
    <hyperlink r:id="rId202" ref="L119"/>
    <hyperlink r:id="rId203" ref="M119"/>
    <hyperlink r:id="rId204" ref="K121"/>
    <hyperlink r:id="rId205" ref="L121"/>
    <hyperlink r:id="rId206" ref="M121"/>
    <hyperlink r:id="rId207" ref="K122"/>
    <hyperlink r:id="rId208" ref="L122"/>
    <hyperlink r:id="rId209" ref="M122"/>
    <hyperlink r:id="rId210" ref="K123"/>
    <hyperlink r:id="rId211" ref="L123"/>
    <hyperlink r:id="rId212" ref="M123"/>
    <hyperlink r:id="rId213" ref="K124"/>
    <hyperlink r:id="rId214" ref="L124"/>
    <hyperlink r:id="rId215" ref="M124"/>
    <hyperlink r:id="rId216" ref="K125"/>
    <hyperlink r:id="rId217" ref="L125"/>
    <hyperlink r:id="rId218" ref="M125"/>
    <hyperlink r:id="rId219" ref="K126"/>
    <hyperlink r:id="rId220" ref="L126"/>
    <hyperlink r:id="rId221" ref="M126"/>
    <hyperlink r:id="rId222" ref="K127"/>
    <hyperlink r:id="rId223" ref="L127"/>
    <hyperlink r:id="rId224" ref="M127"/>
    <hyperlink r:id="rId225" ref="K129"/>
    <hyperlink r:id="rId226" ref="L129"/>
    <hyperlink r:id="rId227" ref="K132"/>
    <hyperlink r:id="rId228" ref="L132"/>
    <hyperlink r:id="rId229" ref="K133"/>
    <hyperlink r:id="rId230" ref="K134"/>
    <hyperlink r:id="rId231" ref="L134"/>
    <hyperlink r:id="rId232" ref="M134"/>
    <hyperlink r:id="rId233" ref="K135"/>
    <hyperlink r:id="rId234" ref="L135"/>
    <hyperlink r:id="rId235" ref="M135"/>
    <hyperlink r:id="rId236" ref="K136"/>
    <hyperlink r:id="rId237" ref="L136"/>
    <hyperlink r:id="rId238" ref="M136"/>
    <hyperlink r:id="rId239" ref="K137"/>
    <hyperlink r:id="rId240" ref="L137"/>
    <hyperlink r:id="rId241" ref="M137"/>
    <hyperlink r:id="rId242" ref="K138"/>
    <hyperlink r:id="rId243" ref="L138"/>
    <hyperlink r:id="rId244" ref="M138"/>
    <hyperlink r:id="rId245" ref="K139"/>
    <hyperlink r:id="rId246" ref="L139"/>
    <hyperlink r:id="rId247" ref="M139"/>
    <hyperlink r:id="rId248" ref="K140"/>
    <hyperlink r:id="rId249" ref="L140"/>
    <hyperlink r:id="rId250" ref="M140"/>
    <hyperlink r:id="rId251" ref="K141"/>
    <hyperlink r:id="rId252" ref="L141"/>
    <hyperlink r:id="rId253" ref="M141"/>
    <hyperlink r:id="rId254" ref="K142"/>
    <hyperlink r:id="rId255" ref="L142"/>
    <hyperlink r:id="rId256" ref="M142"/>
    <hyperlink r:id="rId257" ref="K143"/>
    <hyperlink r:id="rId258" ref="L143"/>
    <hyperlink r:id="rId259" ref="M143"/>
    <hyperlink r:id="rId260" ref="K144"/>
    <hyperlink r:id="rId261" ref="L144"/>
    <hyperlink r:id="rId262" ref="M144"/>
    <hyperlink r:id="rId263" ref="K145"/>
    <hyperlink r:id="rId264" ref="L145"/>
    <hyperlink r:id="rId265" ref="M145"/>
    <hyperlink r:id="rId266" ref="K146"/>
    <hyperlink r:id="rId267" ref="L146"/>
    <hyperlink r:id="rId268" ref="M146"/>
    <hyperlink r:id="rId269" ref="K148"/>
    <hyperlink r:id="rId270" ref="L148"/>
    <hyperlink r:id="rId271" ref="M148"/>
    <hyperlink r:id="rId272" ref="K149"/>
    <hyperlink r:id="rId273" ref="L149"/>
    <hyperlink r:id="rId274" ref="M149"/>
    <hyperlink r:id="rId275" ref="K150"/>
    <hyperlink r:id="rId276" ref="L150"/>
    <hyperlink r:id="rId277" ref="M150"/>
    <hyperlink r:id="rId278" ref="K151"/>
    <hyperlink r:id="rId279" ref="L151"/>
    <hyperlink r:id="rId280" ref="M151"/>
    <hyperlink r:id="rId281" ref="K152"/>
    <hyperlink r:id="rId282" ref="L152"/>
    <hyperlink r:id="rId283" ref="M152"/>
    <hyperlink r:id="rId284" ref="K153"/>
    <hyperlink r:id="rId285" ref="L153"/>
    <hyperlink r:id="rId286" ref="M153"/>
    <hyperlink r:id="rId287" ref="K159"/>
    <hyperlink r:id="rId288" ref="K160"/>
    <hyperlink r:id="rId289" ref="K161"/>
    <hyperlink r:id="rId290" ref="K162"/>
    <hyperlink r:id="rId291" ref="K163"/>
    <hyperlink r:id="rId292" ref="K164"/>
    <hyperlink r:id="rId293" ref="K165"/>
    <hyperlink r:id="rId294" ref="K166"/>
    <hyperlink r:id="rId295" ref="K167"/>
    <hyperlink r:id="rId296" ref="K168"/>
    <hyperlink r:id="rId297" ref="K169"/>
    <hyperlink r:id="rId298" ref="K170"/>
    <hyperlink r:id="rId299" ref="K171"/>
    <hyperlink r:id="rId300" ref="K172"/>
    <hyperlink r:id="rId301" ref="K173"/>
    <hyperlink r:id="rId302" ref="K174"/>
    <hyperlink r:id="rId303" ref="K175"/>
    <hyperlink r:id="rId304" ref="K176"/>
    <hyperlink r:id="rId305" ref="K177"/>
    <hyperlink r:id="rId306" ref="K178"/>
    <hyperlink r:id="rId307" ref="L178"/>
    <hyperlink r:id="rId308" ref="M178"/>
    <hyperlink r:id="rId309" ref="K179"/>
    <hyperlink r:id="rId310" ref="K180"/>
    <hyperlink r:id="rId311" ref="K181"/>
    <hyperlink r:id="rId312" ref="K182"/>
    <hyperlink r:id="rId313" ref="K183"/>
    <hyperlink r:id="rId314" ref="K184"/>
    <hyperlink r:id="rId315" ref="K185"/>
    <hyperlink r:id="rId316" ref="K186"/>
    <hyperlink r:id="rId317" ref="K187"/>
    <hyperlink r:id="rId318" ref="K188"/>
    <hyperlink r:id="rId319" ref="K189"/>
    <hyperlink r:id="rId320" ref="K190"/>
    <hyperlink r:id="rId321" ref="K191"/>
    <hyperlink r:id="rId322" ref="K192"/>
    <hyperlink r:id="rId323" ref="K193"/>
    <hyperlink r:id="rId324" ref="K194"/>
    <hyperlink r:id="rId325" ref="K195"/>
    <hyperlink r:id="rId326" ref="K196"/>
    <hyperlink r:id="rId327" ref="K197"/>
    <hyperlink r:id="rId328" ref="K198"/>
    <hyperlink r:id="rId329" ref="L198"/>
    <hyperlink r:id="rId330" ref="M198"/>
    <hyperlink r:id="rId331" ref="K199"/>
    <hyperlink r:id="rId332" ref="L199"/>
    <hyperlink r:id="rId333" ref="K200"/>
    <hyperlink r:id="rId334" ref="L200"/>
    <hyperlink r:id="rId335" ref="K201"/>
    <hyperlink r:id="rId336" ref="L201"/>
    <hyperlink r:id="rId337" ref="K202"/>
    <hyperlink r:id="rId338" ref="L202"/>
    <hyperlink r:id="rId339" ref="K203"/>
    <hyperlink r:id="rId340" ref="L203"/>
    <hyperlink r:id="rId341" ref="K204"/>
    <hyperlink r:id="rId342" ref="L204"/>
    <hyperlink r:id="rId343" ref="M204"/>
    <hyperlink r:id="rId344" ref="K205"/>
    <hyperlink r:id="rId345" ref="L205"/>
    <hyperlink r:id="rId346" ref="M205"/>
    <hyperlink r:id="rId347" ref="K206"/>
    <hyperlink r:id="rId348" ref="L206"/>
    <hyperlink r:id="rId349" ref="M206"/>
    <hyperlink r:id="rId350" ref="K207"/>
    <hyperlink r:id="rId351" ref="L207"/>
    <hyperlink r:id="rId352" ref="M207"/>
    <hyperlink r:id="rId353" ref="K208"/>
    <hyperlink r:id="rId354" ref="L208"/>
    <hyperlink r:id="rId355" ref="M208"/>
    <hyperlink r:id="rId356" ref="K209"/>
    <hyperlink r:id="rId357" ref="L209"/>
    <hyperlink r:id="rId358" ref="M209"/>
    <hyperlink r:id="rId359" ref="K210"/>
    <hyperlink r:id="rId360" ref="L210"/>
    <hyperlink r:id="rId361" ref="M210"/>
    <hyperlink r:id="rId362" ref="K211"/>
    <hyperlink r:id="rId363" ref="L211"/>
    <hyperlink r:id="rId364" ref="M211"/>
    <hyperlink r:id="rId365" ref="K212"/>
    <hyperlink r:id="rId366" ref="L212"/>
    <hyperlink r:id="rId367" ref="M212"/>
    <hyperlink r:id="rId368" ref="K213"/>
    <hyperlink r:id="rId369" ref="L213"/>
    <hyperlink r:id="rId370" ref="M213"/>
    <hyperlink r:id="rId371" ref="K214"/>
    <hyperlink r:id="rId372" ref="K215"/>
    <hyperlink r:id="rId373" ref="K216"/>
    <hyperlink r:id="rId374" ref="K217"/>
    <hyperlink r:id="rId375" ref="K218"/>
    <hyperlink r:id="rId376" ref="K219"/>
    <hyperlink r:id="rId377" ref="K220"/>
    <hyperlink r:id="rId378" ref="K221"/>
    <hyperlink r:id="rId379" ref="K222"/>
    <hyperlink r:id="rId380" ref="K223"/>
    <hyperlink r:id="rId381" ref="K224"/>
    <hyperlink r:id="rId382" ref="K225"/>
    <hyperlink r:id="rId383" ref="K226"/>
    <hyperlink r:id="rId384" ref="K227"/>
    <hyperlink r:id="rId385" ref="K228"/>
  </hyperlinks>
  <printOptions/>
  <pageMargins bottom="0.75" footer="0.0" header="0.0" left="0.7" right="0.7" top="0.75"/>
  <pageSetup orientation="landscape"/>
  <drawing r:id="rId38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